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5\Downloads\"/>
    </mc:Choice>
  </mc:AlternateContent>
  <xr:revisionPtr revIDLastSave="0" documentId="13_ncr:1_{BF68D7D0-161C-4C47-B0FE-976B19C2416B}" xr6:coauthVersionLast="47" xr6:coauthVersionMax="47" xr10:uidLastSave="{00000000-0000-0000-0000-000000000000}"/>
  <bookViews>
    <workbookView xWindow="-108" yWindow="-108" windowWidth="23256" windowHeight="12456" activeTab="1" xr2:uid="{C34B9B4E-C3A5-4287-9EF0-4EF83257A1DA}"/>
  </bookViews>
  <sheets>
    <sheet name="Sheet3" sheetId="3" r:id="rId1"/>
    <sheet name="Sheet4" sheetId="4" r:id="rId2"/>
    <sheet name="Sheet1" sheetId="1" r:id="rId3"/>
  </sheets>
  <definedNames>
    <definedName name="Slicer_Academic_Year">#N/A</definedName>
    <definedName name="Slicer_Semester">#N/A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alcChain>
</file>

<file path=xl/sharedStrings.xml><?xml version="1.0" encoding="utf-8"?>
<sst xmlns="http://schemas.openxmlformats.org/spreadsheetml/2006/main" count="2301" uniqueCount="379">
  <si>
    <t>Enrollment Date</t>
  </si>
  <si>
    <t>Student ID</t>
  </si>
  <si>
    <t>Course Code</t>
  </si>
  <si>
    <t>Course Name</t>
  </si>
  <si>
    <t>Faculty</t>
  </si>
  <si>
    <t>Department</t>
  </si>
  <si>
    <t>Semester</t>
  </si>
  <si>
    <t>Academic Year</t>
  </si>
  <si>
    <t>Student Level</t>
  </si>
  <si>
    <t>Tuition Fee (拢)</t>
  </si>
  <si>
    <t>Credits</t>
  </si>
  <si>
    <t>Final Grade (%)</t>
  </si>
  <si>
    <t>STU20220000</t>
  </si>
  <si>
    <t>GEN101</t>
  </si>
  <si>
    <t>General Studies</t>
  </si>
  <si>
    <t>Engineering</t>
  </si>
  <si>
    <t>Electrical Engineering</t>
  </si>
  <si>
    <t>Summer</t>
  </si>
  <si>
    <t>2022/23</t>
  </si>
  <si>
    <t>Postgraduate</t>
  </si>
  <si>
    <t>STU20220001</t>
  </si>
  <si>
    <t>Business</t>
  </si>
  <si>
    <t>Management</t>
  </si>
  <si>
    <t>Autumn</t>
  </si>
  <si>
    <t>2023/24</t>
  </si>
  <si>
    <t>PhD</t>
  </si>
  <si>
    <t>STU20220002</t>
  </si>
  <si>
    <t>BIO201</t>
  </si>
  <si>
    <t>Genetics</t>
  </si>
  <si>
    <t>Sciences</t>
  </si>
  <si>
    <t>Biology</t>
  </si>
  <si>
    <t>2024/25</t>
  </si>
  <si>
    <t>Undergraduate</t>
  </si>
  <si>
    <t>STU20220003</t>
  </si>
  <si>
    <t>Medicine</t>
  </si>
  <si>
    <t>Surgery</t>
  </si>
  <si>
    <t>Spring</t>
  </si>
  <si>
    <t>STU20220004</t>
  </si>
  <si>
    <t>FIN301</t>
  </si>
  <si>
    <t>Risk Management</t>
  </si>
  <si>
    <t>Finance</t>
  </si>
  <si>
    <t>STU20220005</t>
  </si>
  <si>
    <t>ENG301</t>
  </si>
  <si>
    <t>Shakespeare Studies</t>
  </si>
  <si>
    <t>Arts</t>
  </si>
  <si>
    <t>English Literature</t>
  </si>
  <si>
    <t>STU20220006</t>
  </si>
  <si>
    <t>Chemistry</t>
  </si>
  <si>
    <t>STU20220007</t>
  </si>
  <si>
    <t>STU20220008</t>
  </si>
  <si>
    <t>STU20220009</t>
  </si>
  <si>
    <t>MKT301</t>
  </si>
  <si>
    <t>Brand Management</t>
  </si>
  <si>
    <t>Marketing</t>
  </si>
  <si>
    <t>STU20220010</t>
  </si>
  <si>
    <t>STU20220011</t>
  </si>
  <si>
    <t>MED101</t>
  </si>
  <si>
    <t>Anatomy</t>
  </si>
  <si>
    <t>General Medicine</t>
  </si>
  <si>
    <t>STU20220012</t>
  </si>
  <si>
    <t>Fine Arts</t>
  </si>
  <si>
    <t>STU20220013</t>
  </si>
  <si>
    <t>Mathematics</t>
  </si>
  <si>
    <t>STU20220014</t>
  </si>
  <si>
    <t>STU20220015</t>
  </si>
  <si>
    <t>Civil Engineering</t>
  </si>
  <si>
    <t>STU20220016</t>
  </si>
  <si>
    <t>Pediatrics</t>
  </si>
  <si>
    <t>STU20220017</t>
  </si>
  <si>
    <t>BIO101</t>
  </si>
  <si>
    <t>Cell Biology</t>
  </si>
  <si>
    <t>STU20220018</t>
  </si>
  <si>
    <t>BIO301</t>
  </si>
  <si>
    <t>Molecular Biology</t>
  </si>
  <si>
    <t>STU20220019</t>
  </si>
  <si>
    <t>STU20220020</t>
  </si>
  <si>
    <t>Physics</t>
  </si>
  <si>
    <t>STU20220021</t>
  </si>
  <si>
    <t>MED201</t>
  </si>
  <si>
    <t>Pathology</t>
  </si>
  <si>
    <t>STU20220022</t>
  </si>
  <si>
    <t>Economics</t>
  </si>
  <si>
    <t>STU20220023</t>
  </si>
  <si>
    <t>Psychiatry</t>
  </si>
  <si>
    <t>STU20220024</t>
  </si>
  <si>
    <t>ENG101</t>
  </si>
  <si>
    <t>British Literature</t>
  </si>
  <si>
    <t>STU20220025</t>
  </si>
  <si>
    <t>STU20220026</t>
  </si>
  <si>
    <t>STU20220027</t>
  </si>
  <si>
    <t>STU20220028</t>
  </si>
  <si>
    <t>STU20220029</t>
  </si>
  <si>
    <t>ME201</t>
  </si>
  <si>
    <t>Thermodynamics</t>
  </si>
  <si>
    <t>Mechanical Engineering</t>
  </si>
  <si>
    <t>STU20220030</t>
  </si>
  <si>
    <t>MKT201</t>
  </si>
  <si>
    <t>Digital Marketing</t>
  </si>
  <si>
    <t>STU20220031</t>
  </si>
  <si>
    <t>FIN101</t>
  </si>
  <si>
    <t>Corporate Finance</t>
  </si>
  <si>
    <t>STU20220032</t>
  </si>
  <si>
    <t>STU20220033</t>
  </si>
  <si>
    <t>STU20220034</t>
  </si>
  <si>
    <t>STU20220035</t>
  </si>
  <si>
    <t>STU20220036</t>
  </si>
  <si>
    <t>STU20220037</t>
  </si>
  <si>
    <t>STU20220038</t>
  </si>
  <si>
    <t>History</t>
  </si>
  <si>
    <t>STU20220039</t>
  </si>
  <si>
    <t>STU20220040</t>
  </si>
  <si>
    <t>STU20220041</t>
  </si>
  <si>
    <t>STU20220042</t>
  </si>
  <si>
    <t>STU20220043</t>
  </si>
  <si>
    <t>STU20220044</t>
  </si>
  <si>
    <t>STU20220045</t>
  </si>
  <si>
    <t>STU20220046</t>
  </si>
  <si>
    <t>STU20220047</t>
  </si>
  <si>
    <t>STU20220048</t>
  </si>
  <si>
    <t>STU20220049</t>
  </si>
  <si>
    <t>Philosophy</t>
  </si>
  <si>
    <t>STU20220050</t>
  </si>
  <si>
    <t>STU20220051</t>
  </si>
  <si>
    <t>STU20220052</t>
  </si>
  <si>
    <t>STU20220053</t>
  </si>
  <si>
    <t>STU20220054</t>
  </si>
  <si>
    <t>CS201</t>
  </si>
  <si>
    <t>Data Structures</t>
  </si>
  <si>
    <t>Computer Science</t>
  </si>
  <si>
    <t>STU20220055</t>
  </si>
  <si>
    <t>STU20220056</t>
  </si>
  <si>
    <t>STU20220057</t>
  </si>
  <si>
    <t>STU20220058</t>
  </si>
  <si>
    <t>STU20220059</t>
  </si>
  <si>
    <t>STU20220060</t>
  </si>
  <si>
    <t>STU20220061</t>
  </si>
  <si>
    <t>STU20220062</t>
  </si>
  <si>
    <t>STU20220063</t>
  </si>
  <si>
    <t>STU20220064</t>
  </si>
  <si>
    <t>STU20220065</t>
  </si>
  <si>
    <t>STU20220066</t>
  </si>
  <si>
    <t>STU20220067</t>
  </si>
  <si>
    <t>STU20220068</t>
  </si>
  <si>
    <t>STU20220069</t>
  </si>
  <si>
    <t>STU20220070</t>
  </si>
  <si>
    <t>STU20220071</t>
  </si>
  <si>
    <t>STU20220072</t>
  </si>
  <si>
    <t>STU20220073</t>
  </si>
  <si>
    <t>STU20220074</t>
  </si>
  <si>
    <t>CS301</t>
  </si>
  <si>
    <t>Machine Learning</t>
  </si>
  <si>
    <t>STU20220075</t>
  </si>
  <si>
    <t>STU20220076</t>
  </si>
  <si>
    <t>STU20220077</t>
  </si>
  <si>
    <t>CS101</t>
  </si>
  <si>
    <t>Programming Fundamentals</t>
  </si>
  <si>
    <t>STU20220078</t>
  </si>
  <si>
    <t>MKT101</t>
  </si>
  <si>
    <t>Marketing Principles</t>
  </si>
  <si>
    <t>STU20220079</t>
  </si>
  <si>
    <t>STU20220080</t>
  </si>
  <si>
    <t>STU20220081</t>
  </si>
  <si>
    <t>STU20220082</t>
  </si>
  <si>
    <t>STU20220083</t>
  </si>
  <si>
    <t>STU20220084</t>
  </si>
  <si>
    <t>STU20220085</t>
  </si>
  <si>
    <t>STU20220086</t>
  </si>
  <si>
    <t>STU20220087</t>
  </si>
  <si>
    <t>STU20220088</t>
  </si>
  <si>
    <t>STU20220089</t>
  </si>
  <si>
    <t>FIN201</t>
  </si>
  <si>
    <t>Investment Analysis</t>
  </si>
  <si>
    <t>STU20220090</t>
  </si>
  <si>
    <t>STU20220091</t>
  </si>
  <si>
    <t>STU20220092</t>
  </si>
  <si>
    <t>STU20220093</t>
  </si>
  <si>
    <t>STU20220094</t>
  </si>
  <si>
    <t>STU20220095</t>
  </si>
  <si>
    <t>STU20220096</t>
  </si>
  <si>
    <t>STU20220097</t>
  </si>
  <si>
    <t>STU20220098</t>
  </si>
  <si>
    <t>STU20220099</t>
  </si>
  <si>
    <t>STU20220100</t>
  </si>
  <si>
    <t>ENG201</t>
  </si>
  <si>
    <t>Modern Poetry</t>
  </si>
  <si>
    <t>STU20220101</t>
  </si>
  <si>
    <t>STU20220102</t>
  </si>
  <si>
    <t>STU20220103</t>
  </si>
  <si>
    <t>STU20220104</t>
  </si>
  <si>
    <t>STU20220105</t>
  </si>
  <si>
    <t>STU20220106</t>
  </si>
  <si>
    <t>STU20220107</t>
  </si>
  <si>
    <t>STU20220108</t>
  </si>
  <si>
    <t>STU20220109</t>
  </si>
  <si>
    <t>STU20220110</t>
  </si>
  <si>
    <t>STU20220111</t>
  </si>
  <si>
    <t>STU20220112</t>
  </si>
  <si>
    <t>STU20220113</t>
  </si>
  <si>
    <t>STU20220114</t>
  </si>
  <si>
    <t>STU20220115</t>
  </si>
  <si>
    <t>STU20220116</t>
  </si>
  <si>
    <t>STU20220117</t>
  </si>
  <si>
    <t>STU20220118</t>
  </si>
  <si>
    <t>STU20220119</t>
  </si>
  <si>
    <t>STU20220120</t>
  </si>
  <si>
    <t>STU20220121</t>
  </si>
  <si>
    <t>STU20220122</t>
  </si>
  <si>
    <t>STU20220123</t>
  </si>
  <si>
    <t>ME301</t>
  </si>
  <si>
    <t>Fluid Mechanics</t>
  </si>
  <si>
    <t>STU20220124</t>
  </si>
  <si>
    <t>STU20220125</t>
  </si>
  <si>
    <t>STU20220126</t>
  </si>
  <si>
    <t>STU20220127</t>
  </si>
  <si>
    <t>STU20220128</t>
  </si>
  <si>
    <t>STU20220129</t>
  </si>
  <si>
    <t>STU20220130</t>
  </si>
  <si>
    <t>STU20220131</t>
  </si>
  <si>
    <t>STU20220132</t>
  </si>
  <si>
    <t>STU20220133</t>
  </si>
  <si>
    <t>STU20220134</t>
  </si>
  <si>
    <t>STU20220135</t>
  </si>
  <si>
    <t>STU20220136</t>
  </si>
  <si>
    <t>STU20220137</t>
  </si>
  <si>
    <t>STU20220138</t>
  </si>
  <si>
    <t>STU20220139</t>
  </si>
  <si>
    <t>STU20220140</t>
  </si>
  <si>
    <t>STU20220141</t>
  </si>
  <si>
    <t>STU20220142</t>
  </si>
  <si>
    <t>STU20220143</t>
  </si>
  <si>
    <t>STU20220144</t>
  </si>
  <si>
    <t>STU20220145</t>
  </si>
  <si>
    <t>STU20220146</t>
  </si>
  <si>
    <t>STU20220147</t>
  </si>
  <si>
    <t>STU20220148</t>
  </si>
  <si>
    <t>STU20220149</t>
  </si>
  <si>
    <t>STU20220150</t>
  </si>
  <si>
    <t>STU20220151</t>
  </si>
  <si>
    <t>STU20220152</t>
  </si>
  <si>
    <t>STU20220153</t>
  </si>
  <si>
    <t>STU20220154</t>
  </si>
  <si>
    <t>STU20220155</t>
  </si>
  <si>
    <t>STU20220156</t>
  </si>
  <si>
    <t>STU20220157</t>
  </si>
  <si>
    <t>STU20220158</t>
  </si>
  <si>
    <t>STU20220159</t>
  </si>
  <si>
    <t>STU20220160</t>
  </si>
  <si>
    <t>STU20220161</t>
  </si>
  <si>
    <t>STU20220162</t>
  </si>
  <si>
    <t>STU20220163</t>
  </si>
  <si>
    <t>STU20220164</t>
  </si>
  <si>
    <t>STU20220165</t>
  </si>
  <si>
    <t>STU20220166</t>
  </si>
  <si>
    <t>STU20220167</t>
  </si>
  <si>
    <t>STU20220168</t>
  </si>
  <si>
    <t>STU20220169</t>
  </si>
  <si>
    <t>STU20220170</t>
  </si>
  <si>
    <t>STU20220171</t>
  </si>
  <si>
    <t>STU20220172</t>
  </si>
  <si>
    <t>STU20220173</t>
  </si>
  <si>
    <t>STU20220174</t>
  </si>
  <si>
    <t>STU20220175</t>
  </si>
  <si>
    <t>STU20220176</t>
  </si>
  <si>
    <t>STU20220177</t>
  </si>
  <si>
    <t>STU20220178</t>
  </si>
  <si>
    <t>STU20220179</t>
  </si>
  <si>
    <t>STU20220180</t>
  </si>
  <si>
    <t>STU20220181</t>
  </si>
  <si>
    <t>STU20220182</t>
  </si>
  <si>
    <t>STU20220183</t>
  </si>
  <si>
    <t>ME101</t>
  </si>
  <si>
    <t>Engineering Mechanics</t>
  </si>
  <si>
    <t>STU20220184</t>
  </si>
  <si>
    <t>STU20220185</t>
  </si>
  <si>
    <t>STU20220186</t>
  </si>
  <si>
    <t>STU20220187</t>
  </si>
  <si>
    <t>STU20220188</t>
  </si>
  <si>
    <t>STU20220189</t>
  </si>
  <si>
    <t>MED301</t>
  </si>
  <si>
    <t>Clinical Practice</t>
  </si>
  <si>
    <t>STU20220190</t>
  </si>
  <si>
    <t>STU20220191</t>
  </si>
  <si>
    <t>STU20220192</t>
  </si>
  <si>
    <t>STU20220193</t>
  </si>
  <si>
    <t>STU20220194</t>
  </si>
  <si>
    <t>STU20220195</t>
  </si>
  <si>
    <t>STU20220196</t>
  </si>
  <si>
    <t>STU20220197</t>
  </si>
  <si>
    <t>STU20220198</t>
  </si>
  <si>
    <t>STU20220199</t>
  </si>
  <si>
    <t>STU20220200</t>
  </si>
  <si>
    <t>STU20220201</t>
  </si>
  <si>
    <t>STU20220202</t>
  </si>
  <si>
    <t>STU20220203</t>
  </si>
  <si>
    <t>STU20220204</t>
  </si>
  <si>
    <t>STU20220205</t>
  </si>
  <si>
    <t>STU20220206</t>
  </si>
  <si>
    <t>STU20220207</t>
  </si>
  <si>
    <t>STU20220208</t>
  </si>
  <si>
    <t>STU20220209</t>
  </si>
  <si>
    <t>STU20220210</t>
  </si>
  <si>
    <t>STU20220211</t>
  </si>
  <si>
    <t>STU20220212</t>
  </si>
  <si>
    <t>STU20220213</t>
  </si>
  <si>
    <t>STU20220214</t>
  </si>
  <si>
    <t>STU20220215</t>
  </si>
  <si>
    <t>STU20220216</t>
  </si>
  <si>
    <t>STU20220217</t>
  </si>
  <si>
    <t>STU20220218</t>
  </si>
  <si>
    <t>STU20220219</t>
  </si>
  <si>
    <t>STU20220220</t>
  </si>
  <si>
    <t>STU20220221</t>
  </si>
  <si>
    <t>STU20220222</t>
  </si>
  <si>
    <t>STU20220223</t>
  </si>
  <si>
    <t>STU20220224</t>
  </si>
  <si>
    <t>STU20220225</t>
  </si>
  <si>
    <t>STU20220226</t>
  </si>
  <si>
    <t>STU20220227</t>
  </si>
  <si>
    <t>STU20220228</t>
  </si>
  <si>
    <t>STU20220229</t>
  </si>
  <si>
    <t>STU20220230</t>
  </si>
  <si>
    <t>STU20220231</t>
  </si>
  <si>
    <t>STU20220232</t>
  </si>
  <si>
    <t>STU20220233</t>
  </si>
  <si>
    <t>STU20220234</t>
  </si>
  <si>
    <t>STU20220235</t>
  </si>
  <si>
    <t>STU20220236</t>
  </si>
  <si>
    <t>STU20220237</t>
  </si>
  <si>
    <t>STU20220238</t>
  </si>
  <si>
    <t>STU20220239</t>
  </si>
  <si>
    <t>STU20220240</t>
  </si>
  <si>
    <t>STU20220241</t>
  </si>
  <si>
    <t>STU20220242</t>
  </si>
  <si>
    <t>STU20220243</t>
  </si>
  <si>
    <t>STU20220244</t>
  </si>
  <si>
    <t>STU20220245</t>
  </si>
  <si>
    <t>STU20220246</t>
  </si>
  <si>
    <t>STU20220247</t>
  </si>
  <si>
    <t>STU20220248</t>
  </si>
  <si>
    <t>STU20220249</t>
  </si>
  <si>
    <t>STU20220250</t>
  </si>
  <si>
    <t>STU20220251</t>
  </si>
  <si>
    <t>STU20220252</t>
  </si>
  <si>
    <t>STU20220253</t>
  </si>
  <si>
    <t>STU20220254</t>
  </si>
  <si>
    <t>STU20220255</t>
  </si>
  <si>
    <t>STU20220256</t>
  </si>
  <si>
    <t>STU20220257</t>
  </si>
  <si>
    <t>STU20220258</t>
  </si>
  <si>
    <t>STU20220259</t>
  </si>
  <si>
    <t>STU20220260</t>
  </si>
  <si>
    <t>STU20220261</t>
  </si>
  <si>
    <t>STU20220262</t>
  </si>
  <si>
    <t>STU20220263</t>
  </si>
  <si>
    <t>STU20220264</t>
  </si>
  <si>
    <t>STU20220265</t>
  </si>
  <si>
    <t>STU20220266</t>
  </si>
  <si>
    <t>STU20220267</t>
  </si>
  <si>
    <t>STU20220268</t>
  </si>
  <si>
    <t>STU20220269</t>
  </si>
  <si>
    <t>STU20220270</t>
  </si>
  <si>
    <t>STU20220271</t>
  </si>
  <si>
    <t>STU20220272</t>
  </si>
  <si>
    <t>STU20220273</t>
  </si>
  <si>
    <t>STU20220274</t>
  </si>
  <si>
    <t>STU20220275</t>
  </si>
  <si>
    <t>STU20220276</t>
  </si>
  <si>
    <t>STU20220277</t>
  </si>
  <si>
    <t>STU20220278</t>
  </si>
  <si>
    <t>STU20220279</t>
  </si>
  <si>
    <t>Row Labels</t>
  </si>
  <si>
    <t>Grand Total</t>
  </si>
  <si>
    <t>Sum of Tuition Fee (拢)</t>
  </si>
  <si>
    <t>Average of Final Grade (%)</t>
  </si>
  <si>
    <t>PhD Count</t>
  </si>
  <si>
    <t>Postgraduate Count</t>
  </si>
  <si>
    <t>Undergraduate Count</t>
  </si>
  <si>
    <t>Fee Per Credit</t>
  </si>
  <si>
    <t>Average of Fee Per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</si>
</sst>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14" fontId="1" fillId="0" borderId="0" xfId="0" applyNumberFormat="1" applyFont="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NumberFormat="1" applyFont="1" applyFill="1" applyAlignment="1" applyProtection="1">
      <alignment vertical="center"/>
    </xf>
  </cellXfs>
  <cellStyles count="1">
    <cellStyle name="Normal" xfId="0" builtinId="0"/>
  </cellStyles>
  <dxfs count="15">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19" formatCode="dd/mm/yyyy"/>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Average of Final Grade (%)</c:v>
                </c:pt>
              </c:strCache>
            </c:strRef>
          </c:tx>
          <c:spPr>
            <a:solidFill>
              <a:schemeClr val="accent1"/>
            </a:solidFill>
            <a:ln>
              <a:noFill/>
            </a:ln>
            <a:effectLst/>
          </c:spPr>
          <c:invertIfNegative val="0"/>
          <c:cat>
            <c:multiLvlStrRef>
              <c:f>Sheet4!$A$4:$A$25</c:f>
              <c:multiLvlStrCache>
                <c:ptCount val="13"/>
                <c:lvl>
                  <c:pt idx="0">
                    <c:v>PhD</c:v>
                  </c:pt>
                  <c:pt idx="1">
                    <c:v>Postgraduate</c:v>
                  </c:pt>
                  <c:pt idx="2">
                    <c:v>Undergraduate</c:v>
                  </c:pt>
                  <c:pt idx="3">
                    <c:v>Postgraduate</c:v>
                  </c:pt>
                  <c:pt idx="4">
                    <c:v>Undergraduate</c:v>
                  </c:pt>
                  <c:pt idx="5">
                    <c:v>Postgraduate</c:v>
                  </c:pt>
                  <c:pt idx="6">
                    <c:v>Undergraduate</c:v>
                  </c:pt>
                  <c:pt idx="7">
                    <c:v>PhD</c:v>
                  </c:pt>
                  <c:pt idx="8">
                    <c:v>Postgraduate</c:v>
                  </c:pt>
                  <c:pt idx="9">
                    <c:v>Undergraduate</c:v>
                  </c:pt>
                  <c:pt idx="10">
                    <c:v>PhD</c:v>
                  </c:pt>
                  <c:pt idx="11">
                    <c:v>Postgraduate</c:v>
                  </c:pt>
                  <c:pt idx="12">
                    <c:v>Undergraduate</c:v>
                  </c:pt>
                </c:lvl>
                <c:lvl>
                  <c:pt idx="0">
                    <c:v>Arts</c:v>
                  </c:pt>
                  <c:pt idx="3">
                    <c:v>Business</c:v>
                  </c:pt>
                  <c:pt idx="5">
                    <c:v>Engineering</c:v>
                  </c:pt>
                  <c:pt idx="7">
                    <c:v>Medicine</c:v>
                  </c:pt>
                  <c:pt idx="10">
                    <c:v>Sciences</c:v>
                  </c:pt>
                </c:lvl>
              </c:multiLvlStrCache>
            </c:multiLvlStrRef>
          </c:cat>
          <c:val>
            <c:numRef>
              <c:f>Sheet4!$B$4:$B$25</c:f>
              <c:numCache>
                <c:formatCode>General</c:formatCode>
                <c:ptCount val="13"/>
                <c:pt idx="0">
                  <c:v>82</c:v>
                </c:pt>
                <c:pt idx="1">
                  <c:v>76</c:v>
                </c:pt>
                <c:pt idx="2">
                  <c:v>59</c:v>
                </c:pt>
                <c:pt idx="3">
                  <c:v>71.666666666666671</c:v>
                </c:pt>
                <c:pt idx="4">
                  <c:v>55</c:v>
                </c:pt>
                <c:pt idx="5">
                  <c:v>62</c:v>
                </c:pt>
                <c:pt idx="6">
                  <c:v>70.333333333333329</c:v>
                </c:pt>
                <c:pt idx="7">
                  <c:v>72</c:v>
                </c:pt>
                <c:pt idx="8">
                  <c:v>66</c:v>
                </c:pt>
                <c:pt idx="9">
                  <c:v>61</c:v>
                </c:pt>
                <c:pt idx="10">
                  <c:v>74</c:v>
                </c:pt>
                <c:pt idx="11">
                  <c:v>71</c:v>
                </c:pt>
                <c:pt idx="12">
                  <c:v>77</c:v>
                </c:pt>
              </c:numCache>
            </c:numRef>
          </c:val>
          <c:extLst>
            <c:ext xmlns:c16="http://schemas.microsoft.com/office/drawing/2014/chart" uri="{C3380CC4-5D6E-409C-BE32-E72D297353CC}">
              <c16:uniqueId val="{00000000-28E3-4D63-9C36-21764CD24382}"/>
            </c:ext>
          </c:extLst>
        </c:ser>
        <c:ser>
          <c:idx val="1"/>
          <c:order val="1"/>
          <c:tx>
            <c:strRef>
              <c:f>Sheet4!$C$3</c:f>
              <c:strCache>
                <c:ptCount val="1"/>
                <c:pt idx="0">
                  <c:v>Average of Fee Per Credit</c:v>
                </c:pt>
              </c:strCache>
            </c:strRef>
          </c:tx>
          <c:spPr>
            <a:solidFill>
              <a:schemeClr val="accent2"/>
            </a:solidFill>
            <a:ln>
              <a:noFill/>
            </a:ln>
            <a:effectLst/>
          </c:spPr>
          <c:invertIfNegative val="0"/>
          <c:cat>
            <c:multiLvlStrRef>
              <c:f>Sheet4!$A$4:$A$25</c:f>
              <c:multiLvlStrCache>
                <c:ptCount val="13"/>
                <c:lvl>
                  <c:pt idx="0">
                    <c:v>PhD</c:v>
                  </c:pt>
                  <c:pt idx="1">
                    <c:v>Postgraduate</c:v>
                  </c:pt>
                  <c:pt idx="2">
                    <c:v>Undergraduate</c:v>
                  </c:pt>
                  <c:pt idx="3">
                    <c:v>Postgraduate</c:v>
                  </c:pt>
                  <c:pt idx="4">
                    <c:v>Undergraduate</c:v>
                  </c:pt>
                  <c:pt idx="5">
                    <c:v>Postgraduate</c:v>
                  </c:pt>
                  <c:pt idx="6">
                    <c:v>Undergraduate</c:v>
                  </c:pt>
                  <c:pt idx="7">
                    <c:v>PhD</c:v>
                  </c:pt>
                  <c:pt idx="8">
                    <c:v>Postgraduate</c:v>
                  </c:pt>
                  <c:pt idx="9">
                    <c:v>Undergraduate</c:v>
                  </c:pt>
                  <c:pt idx="10">
                    <c:v>PhD</c:v>
                  </c:pt>
                  <c:pt idx="11">
                    <c:v>Postgraduate</c:v>
                  </c:pt>
                  <c:pt idx="12">
                    <c:v>Undergraduate</c:v>
                  </c:pt>
                </c:lvl>
                <c:lvl>
                  <c:pt idx="0">
                    <c:v>Arts</c:v>
                  </c:pt>
                  <c:pt idx="3">
                    <c:v>Business</c:v>
                  </c:pt>
                  <c:pt idx="5">
                    <c:v>Engineering</c:v>
                  </c:pt>
                  <c:pt idx="7">
                    <c:v>Medicine</c:v>
                  </c:pt>
                  <c:pt idx="10">
                    <c:v>Sciences</c:v>
                  </c:pt>
                </c:lvl>
              </c:multiLvlStrCache>
            </c:multiLvlStrRef>
          </c:cat>
          <c:val>
            <c:numRef>
              <c:f>Sheet4!$C$4:$C$25</c:f>
              <c:numCache>
                <c:formatCode>General</c:formatCode>
                <c:ptCount val="13"/>
                <c:pt idx="0">
                  <c:v>863.45</c:v>
                </c:pt>
                <c:pt idx="1">
                  <c:v>881.86666666666656</c:v>
                </c:pt>
                <c:pt idx="2">
                  <c:v>638.93333333333339</c:v>
                </c:pt>
                <c:pt idx="3">
                  <c:v>823.02777777777783</c:v>
                </c:pt>
                <c:pt idx="4">
                  <c:v>911.5</c:v>
                </c:pt>
                <c:pt idx="5">
                  <c:v>588.36666666666667</c:v>
                </c:pt>
                <c:pt idx="6">
                  <c:v>640.69444444444434</c:v>
                </c:pt>
                <c:pt idx="7">
                  <c:v>1081.5333333333333</c:v>
                </c:pt>
                <c:pt idx="8">
                  <c:v>1949.8</c:v>
                </c:pt>
                <c:pt idx="9">
                  <c:v>940</c:v>
                </c:pt>
                <c:pt idx="10">
                  <c:v>872.4</c:v>
                </c:pt>
                <c:pt idx="11">
                  <c:v>1497.9</c:v>
                </c:pt>
                <c:pt idx="12">
                  <c:v>692.86666666666667</c:v>
                </c:pt>
              </c:numCache>
            </c:numRef>
          </c:val>
          <c:extLst>
            <c:ext xmlns:c16="http://schemas.microsoft.com/office/drawing/2014/chart" uri="{C3380CC4-5D6E-409C-BE32-E72D297353CC}">
              <c16:uniqueId val="{00000002-28E3-4D63-9C36-21764CD24382}"/>
            </c:ext>
          </c:extLst>
        </c:ser>
        <c:dLbls>
          <c:showLegendKey val="0"/>
          <c:showVal val="0"/>
          <c:showCatName val="0"/>
          <c:showSerName val="0"/>
          <c:showPercent val="0"/>
          <c:showBubbleSize val="0"/>
        </c:dLbls>
        <c:gapWidth val="182"/>
        <c:axId val="225955696"/>
        <c:axId val="225956176"/>
      </c:barChart>
      <c:catAx>
        <c:axId val="22595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56176"/>
        <c:crosses val="autoZero"/>
        <c:auto val="1"/>
        <c:lblAlgn val="ctr"/>
        <c:lblOffset val="100"/>
        <c:noMultiLvlLbl val="0"/>
      </c:catAx>
      <c:valAx>
        <c:axId val="22595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5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525780</xdr:colOff>
      <xdr:row>1</xdr:row>
      <xdr:rowOff>30480</xdr:rowOff>
    </xdr:from>
    <xdr:to>
      <xdr:col>4</xdr:col>
      <xdr:colOff>205740</xdr:colOff>
      <xdr:row>14</xdr:row>
      <xdr:rowOff>120015</xdr:rowOff>
    </xdr:to>
    <mc:AlternateContent xmlns:mc="http://schemas.openxmlformats.org/markup-compatibility/2006">
      <mc:Choice xmlns:a14="http://schemas.microsoft.com/office/drawing/2010/main" Requires="a14">
        <xdr:graphicFrame macro="">
          <xdr:nvGraphicFramePr>
            <xdr:cNvPr id="4" name="Semester">
              <a:extLst>
                <a:ext uri="{FF2B5EF4-FFF2-40B4-BE49-F238E27FC236}">
                  <a16:creationId xmlns:a16="http://schemas.microsoft.com/office/drawing/2014/main" id="{2577C209-627C-4472-E514-D89C26933357}"/>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0" name=""/>
            <xdr:cNvSpPr>
              <a:spLocks noTextEdit="1"/>
            </xdr:cNvSpPr>
          </xdr:nvSpPr>
          <xdr:spPr>
            <a:xfrm>
              <a:off x="3512820" y="21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1</xdr:row>
      <xdr:rowOff>7620</xdr:rowOff>
    </xdr:from>
    <xdr:to>
      <xdr:col>7</xdr:col>
      <xdr:colOff>601980</xdr:colOff>
      <xdr:row>14</xdr:row>
      <xdr:rowOff>97155</xdr:rowOff>
    </xdr:to>
    <mc:AlternateContent xmlns:mc="http://schemas.openxmlformats.org/markup-compatibility/2006">
      <mc:Choice xmlns:a14="http://schemas.microsoft.com/office/drawing/2010/main" Requires="a14">
        <xdr:graphicFrame macro="">
          <xdr:nvGraphicFramePr>
            <xdr:cNvPr id="5" name="Academic Year">
              <a:extLst>
                <a:ext uri="{FF2B5EF4-FFF2-40B4-BE49-F238E27FC236}">
                  <a16:creationId xmlns:a16="http://schemas.microsoft.com/office/drawing/2014/main" id="{68ACA3D7-7934-E225-D9AD-A19EDCCE2495}"/>
                </a:ext>
              </a:extLst>
            </xdr:cNvPr>
            <xdr:cNvGraphicFramePr/>
          </xdr:nvGraphicFramePr>
          <xdr:xfrm>
            <a:off x="0" y="0"/>
            <a:ext cx="0" cy="0"/>
          </xdr:xfrm>
          <a:graphic>
            <a:graphicData uri="http://schemas.microsoft.com/office/drawing/2010/slicer">
              <sle:slicer xmlns:sle="http://schemas.microsoft.com/office/drawing/2010/slicer" name="Academic Year"/>
            </a:graphicData>
          </a:graphic>
        </xdr:graphicFrame>
      </mc:Choice>
      <mc:Fallback>
        <xdr:sp macro="" textlink="">
          <xdr:nvSpPr>
            <xdr:cNvPr id="0" name=""/>
            <xdr:cNvSpPr>
              <a:spLocks noTextEdit="1"/>
            </xdr:cNvSpPr>
          </xdr:nvSpPr>
          <xdr:spPr>
            <a:xfrm>
              <a:off x="573786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15</xdr:row>
      <xdr:rowOff>148590</xdr:rowOff>
    </xdr:from>
    <xdr:to>
      <xdr:col>8</xdr:col>
      <xdr:colOff>601980</xdr:colOff>
      <xdr:row>30</xdr:row>
      <xdr:rowOff>148590</xdr:rowOff>
    </xdr:to>
    <xdr:graphicFrame macro="">
      <xdr:nvGraphicFramePr>
        <xdr:cNvPr id="6" name="Chart 5">
          <a:extLst>
            <a:ext uri="{FF2B5EF4-FFF2-40B4-BE49-F238E27FC236}">
              <a16:creationId xmlns:a16="http://schemas.microsoft.com/office/drawing/2014/main" id="{CB71B01C-194D-119C-8238-E8A12878A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Gavhane" refreshedDate="46038.953670949071" createdVersion="8" refreshedVersion="8" minRefreshableVersion="3" recordCount="280" xr:uid="{EDB06B13-2563-4B66-9174-F4638C98ACFD}">
  <cacheSource type="worksheet">
    <worksheetSource name="Table1"/>
  </cacheSource>
  <cacheFields count="13">
    <cacheField name="Enrollment Date" numFmtId="14">
      <sharedItems containsSemiMixedTypes="0" containsNonDate="0" containsDate="1" containsString="0" minDate="2022-01-05T00:00:00" maxDate="2024-11-24T00:00:00"/>
    </cacheField>
    <cacheField name="Student ID" numFmtId="0">
      <sharedItems/>
    </cacheField>
    <cacheField name="Course Code" numFmtId="0">
      <sharedItems/>
    </cacheField>
    <cacheField name="Course Name" numFmtId="0">
      <sharedItems/>
    </cacheField>
    <cacheField name="Faculty" numFmtId="0">
      <sharedItems count="5">
        <s v="Engineering"/>
        <s v="Business"/>
        <s v="Sciences"/>
        <s v="Medicine"/>
        <s v="Arts"/>
      </sharedItems>
    </cacheField>
    <cacheField name="Department" numFmtId="0">
      <sharedItems count="20">
        <s v="Electrical Engineering"/>
        <s v="Management"/>
        <s v="Biology"/>
        <s v="Surgery"/>
        <s v="Finance"/>
        <s v="English Literature"/>
        <s v="Chemistry"/>
        <s v="Marketing"/>
        <s v="General Medicine"/>
        <s v="Fine Arts"/>
        <s v="Mathematics"/>
        <s v="Civil Engineering"/>
        <s v="Pediatrics"/>
        <s v="Physics"/>
        <s v="Economics"/>
        <s v="Psychiatry"/>
        <s v="Mechanical Engineering"/>
        <s v="History"/>
        <s v="Philosophy"/>
        <s v="Computer Science"/>
      </sharedItems>
    </cacheField>
    <cacheField name="Semester" numFmtId="0">
      <sharedItems count="3">
        <s v="Summer"/>
        <s v="Autumn"/>
        <s v="Spring"/>
      </sharedItems>
    </cacheField>
    <cacheField name="Academic Year" numFmtId="0">
      <sharedItems count="3">
        <s v="2022/23"/>
        <s v="2023/24"/>
        <s v="2024/25"/>
      </sharedItems>
    </cacheField>
    <cacheField name="Student Level" numFmtId="0">
      <sharedItems count="3">
        <s v="Postgraduate"/>
        <s v="PhD"/>
        <s v="Undergraduate"/>
      </sharedItems>
    </cacheField>
    <cacheField name="Tuition Fee (拢)" numFmtId="0">
      <sharedItems containsSemiMixedTypes="0" containsString="0" containsNumber="1" containsInteger="1" minValue="9003" maxValue="24894"/>
    </cacheField>
    <cacheField name="Credits" numFmtId="0">
      <sharedItems containsSemiMixedTypes="0" containsString="0" containsNumber="1" containsInteger="1" minValue="10" maxValue="30"/>
    </cacheField>
    <cacheField name="Final Grade (%)" numFmtId="0">
      <sharedItems containsSemiMixedTypes="0" containsString="0" containsNumber="1" containsInteger="1" minValue="50" maxValue="89"/>
    </cacheField>
    <cacheField name="Fee Per Credit" numFmtId="0">
      <sharedItems containsSemiMixedTypes="0" containsString="0" containsNumber="1" minValue="300.3" maxValue="2466.5"/>
    </cacheField>
  </cacheFields>
  <extLst>
    <ext xmlns:x14="http://schemas.microsoft.com/office/spreadsheetml/2009/9/main" uri="{725AE2AE-9491-48be-B2B4-4EB974FC3084}">
      <x14:pivotCacheDefinition pivotCacheId="1939658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d v="2022-06-24T00:00:00"/>
    <s v="STU20220000"/>
    <s v="GEN101"/>
    <s v="General Studies"/>
    <x v="0"/>
    <x v="0"/>
    <x v="0"/>
    <x v="0"/>
    <x v="0"/>
    <n v="15979"/>
    <n v="30"/>
    <n v="80"/>
    <n v="532.63333333333333"/>
  </r>
  <r>
    <d v="2023-11-06T00:00:00"/>
    <s v="STU20220001"/>
    <s v="GEN101"/>
    <s v="General Studies"/>
    <x v="1"/>
    <x v="1"/>
    <x v="1"/>
    <x v="1"/>
    <x v="1"/>
    <n v="20847"/>
    <n v="20"/>
    <n v="72"/>
    <n v="1042.3499999999999"/>
  </r>
  <r>
    <d v="2024-09-26T00:00:00"/>
    <s v="STU20220002"/>
    <s v="BIO201"/>
    <s v="Genetics"/>
    <x v="2"/>
    <x v="2"/>
    <x v="1"/>
    <x v="2"/>
    <x v="2"/>
    <n v="10393"/>
    <n v="15"/>
    <n v="77"/>
    <n v="692.86666666666667"/>
  </r>
  <r>
    <d v="2022-03-03T00:00:00"/>
    <s v="STU20220003"/>
    <s v="GEN101"/>
    <s v="General Studies"/>
    <x v="3"/>
    <x v="3"/>
    <x v="2"/>
    <x v="0"/>
    <x v="2"/>
    <n v="9738"/>
    <n v="15"/>
    <n v="60"/>
    <n v="649.20000000000005"/>
  </r>
  <r>
    <d v="2024-01-08T00:00:00"/>
    <s v="STU20220004"/>
    <s v="FIN301"/>
    <s v="Risk Management"/>
    <x v="1"/>
    <x v="4"/>
    <x v="2"/>
    <x v="2"/>
    <x v="1"/>
    <n v="19186"/>
    <n v="20"/>
    <n v="69"/>
    <n v="959.3"/>
  </r>
  <r>
    <d v="2023-06-16T00:00:00"/>
    <s v="STU20220005"/>
    <s v="ENG301"/>
    <s v="Shakespeare Studies"/>
    <x v="4"/>
    <x v="5"/>
    <x v="0"/>
    <x v="1"/>
    <x v="2"/>
    <n v="9285"/>
    <n v="15"/>
    <n v="69"/>
    <n v="619"/>
  </r>
  <r>
    <d v="2022-06-01T00:00:00"/>
    <s v="STU20220006"/>
    <s v="GEN101"/>
    <s v="General Studies"/>
    <x v="2"/>
    <x v="6"/>
    <x v="0"/>
    <x v="0"/>
    <x v="0"/>
    <n v="17062"/>
    <n v="15"/>
    <n v="69"/>
    <n v="1137.4666666666667"/>
  </r>
  <r>
    <d v="2022-08-14T00:00:00"/>
    <s v="STU20220007"/>
    <s v="GEN101"/>
    <s v="General Studies"/>
    <x v="2"/>
    <x v="6"/>
    <x v="0"/>
    <x v="0"/>
    <x v="2"/>
    <n v="9345"/>
    <n v="10"/>
    <n v="76"/>
    <n v="934.5"/>
  </r>
  <r>
    <d v="2024-08-28T00:00:00"/>
    <s v="STU20220008"/>
    <s v="GEN101"/>
    <s v="General Studies"/>
    <x v="0"/>
    <x v="0"/>
    <x v="0"/>
    <x v="2"/>
    <x v="2"/>
    <n v="10174"/>
    <n v="15"/>
    <n v="77"/>
    <n v="678.26666666666665"/>
  </r>
  <r>
    <d v="2023-06-08T00:00:00"/>
    <s v="STU20220009"/>
    <s v="MKT301"/>
    <s v="Brand Management"/>
    <x v="1"/>
    <x v="7"/>
    <x v="0"/>
    <x v="1"/>
    <x v="1"/>
    <n v="16676"/>
    <n v="30"/>
    <n v="87"/>
    <n v="555.86666666666667"/>
  </r>
  <r>
    <d v="2022-11-27T00:00:00"/>
    <s v="STU20220010"/>
    <s v="FIN301"/>
    <s v="Risk Management"/>
    <x v="1"/>
    <x v="4"/>
    <x v="1"/>
    <x v="0"/>
    <x v="1"/>
    <n v="21528"/>
    <n v="10"/>
    <n v="68"/>
    <n v="2152.8000000000002"/>
  </r>
  <r>
    <d v="2022-07-02T00:00:00"/>
    <s v="STU20220011"/>
    <s v="MED101"/>
    <s v="Anatomy"/>
    <x v="3"/>
    <x v="8"/>
    <x v="0"/>
    <x v="0"/>
    <x v="0"/>
    <n v="15911"/>
    <n v="15"/>
    <n v="81"/>
    <n v="1060.7333333333333"/>
  </r>
  <r>
    <d v="2024-10-11T00:00:00"/>
    <s v="STU20220012"/>
    <s v="GEN101"/>
    <s v="General Studies"/>
    <x v="4"/>
    <x v="9"/>
    <x v="1"/>
    <x v="2"/>
    <x v="1"/>
    <n v="17269"/>
    <n v="20"/>
    <n v="82"/>
    <n v="863.45"/>
  </r>
  <r>
    <d v="2023-11-20T00:00:00"/>
    <s v="STU20220013"/>
    <s v="GEN101"/>
    <s v="General Studies"/>
    <x v="2"/>
    <x v="10"/>
    <x v="1"/>
    <x v="1"/>
    <x v="0"/>
    <n v="17311"/>
    <n v="10"/>
    <n v="74"/>
    <n v="1731.1"/>
  </r>
  <r>
    <d v="2024-03-03T00:00:00"/>
    <s v="STU20220014"/>
    <s v="GEN101"/>
    <s v="General Studies"/>
    <x v="4"/>
    <x v="9"/>
    <x v="2"/>
    <x v="2"/>
    <x v="2"/>
    <n v="9051"/>
    <n v="20"/>
    <n v="69"/>
    <n v="452.55"/>
  </r>
  <r>
    <d v="2023-09-22T00:00:00"/>
    <s v="STU20220015"/>
    <s v="GEN101"/>
    <s v="General Studies"/>
    <x v="0"/>
    <x v="11"/>
    <x v="1"/>
    <x v="1"/>
    <x v="2"/>
    <n v="10039"/>
    <n v="15"/>
    <n v="55"/>
    <n v="669.26666666666665"/>
  </r>
  <r>
    <d v="2023-01-06T00:00:00"/>
    <s v="STU20220016"/>
    <s v="GEN101"/>
    <s v="General Studies"/>
    <x v="3"/>
    <x v="12"/>
    <x v="2"/>
    <x v="1"/>
    <x v="0"/>
    <n v="15586"/>
    <n v="10"/>
    <n v="68"/>
    <n v="1558.6"/>
  </r>
  <r>
    <d v="2023-11-22T00:00:00"/>
    <s v="STU20220017"/>
    <s v="BIO101"/>
    <s v="Cell Biology"/>
    <x v="2"/>
    <x v="2"/>
    <x v="1"/>
    <x v="1"/>
    <x v="0"/>
    <n v="17703"/>
    <n v="20"/>
    <n v="61"/>
    <n v="885.15"/>
  </r>
  <r>
    <d v="2024-02-15T00:00:00"/>
    <s v="STU20220018"/>
    <s v="BIO301"/>
    <s v="Molecular Biology"/>
    <x v="2"/>
    <x v="2"/>
    <x v="2"/>
    <x v="2"/>
    <x v="1"/>
    <n v="21032"/>
    <n v="15"/>
    <n v="61"/>
    <n v="1402.1333333333334"/>
  </r>
  <r>
    <d v="2022-06-15T00:00:00"/>
    <s v="STU20220019"/>
    <s v="GEN101"/>
    <s v="General Studies"/>
    <x v="4"/>
    <x v="9"/>
    <x v="0"/>
    <x v="0"/>
    <x v="1"/>
    <n v="17281"/>
    <n v="15"/>
    <n v="64"/>
    <n v="1152.0666666666666"/>
  </r>
  <r>
    <d v="2022-08-09T00:00:00"/>
    <s v="STU20220020"/>
    <s v="GEN101"/>
    <s v="General Studies"/>
    <x v="2"/>
    <x v="13"/>
    <x v="0"/>
    <x v="0"/>
    <x v="0"/>
    <n v="15801"/>
    <n v="30"/>
    <n v="85"/>
    <n v="526.70000000000005"/>
  </r>
  <r>
    <d v="2024-03-28T00:00:00"/>
    <s v="STU20220021"/>
    <s v="MED201"/>
    <s v="Pathology"/>
    <x v="3"/>
    <x v="8"/>
    <x v="2"/>
    <x v="2"/>
    <x v="2"/>
    <n v="9363"/>
    <n v="15"/>
    <n v="57"/>
    <n v="624.20000000000005"/>
  </r>
  <r>
    <d v="2023-06-23T00:00:00"/>
    <s v="STU20220022"/>
    <s v="GEN101"/>
    <s v="General Studies"/>
    <x v="1"/>
    <x v="14"/>
    <x v="0"/>
    <x v="1"/>
    <x v="2"/>
    <n v="9364"/>
    <n v="15"/>
    <n v="65"/>
    <n v="624.26666666666665"/>
  </r>
  <r>
    <d v="2024-09-20T00:00:00"/>
    <s v="STU20220023"/>
    <s v="GEN101"/>
    <s v="General Studies"/>
    <x v="3"/>
    <x v="15"/>
    <x v="1"/>
    <x v="2"/>
    <x v="0"/>
    <n v="19498"/>
    <n v="10"/>
    <n v="66"/>
    <n v="1949.8"/>
  </r>
  <r>
    <d v="2022-09-27T00:00:00"/>
    <s v="STU20220024"/>
    <s v="ENG101"/>
    <s v="British Literature"/>
    <x v="4"/>
    <x v="5"/>
    <x v="1"/>
    <x v="0"/>
    <x v="0"/>
    <n v="12998"/>
    <n v="30"/>
    <n v="62"/>
    <n v="433.26666666666665"/>
  </r>
  <r>
    <d v="2023-10-05T00:00:00"/>
    <s v="STU20220025"/>
    <s v="GEN101"/>
    <s v="General Studies"/>
    <x v="3"/>
    <x v="15"/>
    <x v="1"/>
    <x v="1"/>
    <x v="2"/>
    <n v="10159"/>
    <n v="15"/>
    <n v="55"/>
    <n v="677.26666666666665"/>
  </r>
  <r>
    <d v="2022-11-24T00:00:00"/>
    <s v="STU20220026"/>
    <s v="BIO201"/>
    <s v="Genetics"/>
    <x v="2"/>
    <x v="2"/>
    <x v="1"/>
    <x v="0"/>
    <x v="0"/>
    <n v="14495"/>
    <n v="20"/>
    <n v="61"/>
    <n v="724.75"/>
  </r>
  <r>
    <d v="2022-01-23T00:00:00"/>
    <s v="STU20220027"/>
    <s v="GEN101"/>
    <s v="General Studies"/>
    <x v="3"/>
    <x v="12"/>
    <x v="2"/>
    <x v="0"/>
    <x v="0"/>
    <n v="18599"/>
    <n v="30"/>
    <n v="67"/>
    <n v="619.9666666666667"/>
  </r>
  <r>
    <d v="2024-07-20T00:00:00"/>
    <s v="STU20220028"/>
    <s v="GEN101"/>
    <s v="General Studies"/>
    <x v="3"/>
    <x v="12"/>
    <x v="0"/>
    <x v="2"/>
    <x v="1"/>
    <n v="23686"/>
    <n v="20"/>
    <n v="72"/>
    <n v="1184.3"/>
  </r>
  <r>
    <d v="2022-01-28T00:00:00"/>
    <s v="STU20220029"/>
    <s v="ME201"/>
    <s v="Thermodynamics"/>
    <x v="0"/>
    <x v="16"/>
    <x v="2"/>
    <x v="0"/>
    <x v="0"/>
    <n v="15588"/>
    <n v="15"/>
    <n v="79"/>
    <n v="1039.2"/>
  </r>
  <r>
    <d v="2024-06-21T00:00:00"/>
    <s v="STU20220030"/>
    <s v="MKT201"/>
    <s v="Digital Marketing"/>
    <x v="1"/>
    <x v="7"/>
    <x v="0"/>
    <x v="2"/>
    <x v="0"/>
    <n v="17398"/>
    <n v="30"/>
    <n v="75"/>
    <n v="579.93333333333328"/>
  </r>
  <r>
    <d v="2024-07-05T00:00:00"/>
    <s v="STU20220031"/>
    <s v="FIN101"/>
    <s v="Corporate Finance"/>
    <x v="1"/>
    <x v="4"/>
    <x v="0"/>
    <x v="2"/>
    <x v="1"/>
    <n v="24665"/>
    <n v="10"/>
    <n v="78"/>
    <n v="2466.5"/>
  </r>
  <r>
    <d v="2022-10-12T00:00:00"/>
    <s v="STU20220032"/>
    <s v="GEN101"/>
    <s v="General Studies"/>
    <x v="0"/>
    <x v="0"/>
    <x v="1"/>
    <x v="0"/>
    <x v="0"/>
    <n v="16612"/>
    <n v="30"/>
    <n v="57"/>
    <n v="553.73333333333335"/>
  </r>
  <r>
    <d v="2022-01-25T00:00:00"/>
    <s v="STU20220033"/>
    <s v="GEN101"/>
    <s v="General Studies"/>
    <x v="3"/>
    <x v="15"/>
    <x v="2"/>
    <x v="0"/>
    <x v="0"/>
    <n v="19231"/>
    <n v="15"/>
    <n v="83"/>
    <n v="1282.0666666666666"/>
  </r>
  <r>
    <d v="2022-09-15T00:00:00"/>
    <s v="STU20220034"/>
    <s v="GEN101"/>
    <s v="General Studies"/>
    <x v="2"/>
    <x v="13"/>
    <x v="1"/>
    <x v="0"/>
    <x v="1"/>
    <n v="20121"/>
    <n v="30"/>
    <n v="86"/>
    <n v="670.7"/>
  </r>
  <r>
    <d v="2022-07-25T00:00:00"/>
    <s v="STU20220035"/>
    <s v="GEN101"/>
    <s v="General Studies"/>
    <x v="4"/>
    <x v="9"/>
    <x v="0"/>
    <x v="0"/>
    <x v="0"/>
    <n v="16458"/>
    <n v="15"/>
    <n v="72"/>
    <n v="1097.2"/>
  </r>
  <r>
    <d v="2024-08-02T00:00:00"/>
    <s v="STU20220036"/>
    <s v="BIO101"/>
    <s v="Cell Biology"/>
    <x v="2"/>
    <x v="2"/>
    <x v="0"/>
    <x v="2"/>
    <x v="1"/>
    <n v="16484"/>
    <n v="10"/>
    <n v="66"/>
    <n v="1648.4"/>
  </r>
  <r>
    <d v="2022-01-22T00:00:00"/>
    <s v="STU20220037"/>
    <s v="ENG101"/>
    <s v="British Literature"/>
    <x v="4"/>
    <x v="5"/>
    <x v="2"/>
    <x v="0"/>
    <x v="0"/>
    <n v="15600"/>
    <n v="20"/>
    <n v="58"/>
    <n v="780"/>
  </r>
  <r>
    <d v="2023-11-10T00:00:00"/>
    <s v="STU20220038"/>
    <s v="GEN101"/>
    <s v="General Studies"/>
    <x v="4"/>
    <x v="17"/>
    <x v="1"/>
    <x v="1"/>
    <x v="1"/>
    <n v="21973"/>
    <n v="20"/>
    <n v="63"/>
    <n v="1098.6500000000001"/>
  </r>
  <r>
    <d v="2023-10-24T00:00:00"/>
    <s v="STU20220039"/>
    <s v="GEN101"/>
    <s v="General Studies"/>
    <x v="2"/>
    <x v="10"/>
    <x v="1"/>
    <x v="1"/>
    <x v="0"/>
    <n v="18606"/>
    <n v="10"/>
    <n v="74"/>
    <n v="1860.6"/>
  </r>
  <r>
    <d v="2023-02-12T00:00:00"/>
    <s v="STU20220040"/>
    <s v="GEN101"/>
    <s v="General Studies"/>
    <x v="4"/>
    <x v="9"/>
    <x v="2"/>
    <x v="1"/>
    <x v="2"/>
    <n v="10393"/>
    <n v="20"/>
    <n v="78"/>
    <n v="519.65"/>
  </r>
  <r>
    <d v="2022-09-10T00:00:00"/>
    <s v="STU20220041"/>
    <s v="MED201"/>
    <s v="Pathology"/>
    <x v="3"/>
    <x v="8"/>
    <x v="1"/>
    <x v="0"/>
    <x v="0"/>
    <n v="19404"/>
    <n v="15"/>
    <n v="61"/>
    <n v="1293.5999999999999"/>
  </r>
  <r>
    <d v="2023-11-05T00:00:00"/>
    <s v="STU20220042"/>
    <s v="GEN101"/>
    <s v="General Studies"/>
    <x v="2"/>
    <x v="13"/>
    <x v="1"/>
    <x v="1"/>
    <x v="2"/>
    <n v="10436"/>
    <n v="20"/>
    <n v="77"/>
    <n v="521.79999999999995"/>
  </r>
  <r>
    <d v="2024-02-07T00:00:00"/>
    <s v="STU20220043"/>
    <s v="GEN101"/>
    <s v="General Studies"/>
    <x v="4"/>
    <x v="17"/>
    <x v="2"/>
    <x v="2"/>
    <x v="0"/>
    <n v="15473"/>
    <n v="30"/>
    <n v="61"/>
    <n v="515.76666666666665"/>
  </r>
  <r>
    <d v="2022-11-01T00:00:00"/>
    <s v="STU20220044"/>
    <s v="GEN101"/>
    <s v="General Studies"/>
    <x v="4"/>
    <x v="9"/>
    <x v="1"/>
    <x v="0"/>
    <x v="0"/>
    <n v="16192"/>
    <n v="15"/>
    <n v="72"/>
    <n v="1079.4666666666667"/>
  </r>
  <r>
    <d v="2024-09-11T00:00:00"/>
    <s v="STU20220045"/>
    <s v="ENG101"/>
    <s v="British Literature"/>
    <x v="4"/>
    <x v="5"/>
    <x v="1"/>
    <x v="2"/>
    <x v="0"/>
    <n v="17941"/>
    <n v="15"/>
    <n v="74"/>
    <n v="1196.0666666666666"/>
  </r>
  <r>
    <d v="2024-10-02T00:00:00"/>
    <s v="STU20220046"/>
    <s v="GEN101"/>
    <s v="General Studies"/>
    <x v="0"/>
    <x v="0"/>
    <x v="1"/>
    <x v="2"/>
    <x v="2"/>
    <n v="10999"/>
    <n v="30"/>
    <n v="79"/>
    <n v="366.63333333333333"/>
  </r>
  <r>
    <d v="2023-03-14T00:00:00"/>
    <s v="STU20220047"/>
    <s v="GEN101"/>
    <s v="General Studies"/>
    <x v="4"/>
    <x v="17"/>
    <x v="2"/>
    <x v="1"/>
    <x v="1"/>
    <n v="18686"/>
    <n v="30"/>
    <n v="70"/>
    <n v="622.86666666666667"/>
  </r>
  <r>
    <d v="2022-09-18T00:00:00"/>
    <s v="STU20220048"/>
    <s v="GEN101"/>
    <s v="General Studies"/>
    <x v="1"/>
    <x v="1"/>
    <x v="1"/>
    <x v="0"/>
    <x v="0"/>
    <n v="17414"/>
    <n v="15"/>
    <n v="80"/>
    <n v="1160.9333333333334"/>
  </r>
  <r>
    <d v="2024-01-09T00:00:00"/>
    <s v="STU20220049"/>
    <s v="GEN101"/>
    <s v="General Studies"/>
    <x v="4"/>
    <x v="18"/>
    <x v="2"/>
    <x v="2"/>
    <x v="0"/>
    <n v="15736"/>
    <n v="30"/>
    <n v="77"/>
    <n v="524.5333333333333"/>
  </r>
  <r>
    <d v="2023-09-06T00:00:00"/>
    <s v="STU20220050"/>
    <s v="GEN101"/>
    <s v="General Studies"/>
    <x v="4"/>
    <x v="18"/>
    <x v="1"/>
    <x v="1"/>
    <x v="2"/>
    <n v="10485"/>
    <n v="15"/>
    <n v="59"/>
    <n v="699"/>
  </r>
  <r>
    <d v="2024-09-20T00:00:00"/>
    <s v="STU20220051"/>
    <s v="GEN101"/>
    <s v="General Studies"/>
    <x v="4"/>
    <x v="18"/>
    <x v="1"/>
    <x v="2"/>
    <x v="0"/>
    <n v="17030"/>
    <n v="30"/>
    <n v="78"/>
    <n v="567.66666666666663"/>
  </r>
  <r>
    <d v="2022-06-22T00:00:00"/>
    <s v="STU20220052"/>
    <s v="GEN101"/>
    <s v="General Studies"/>
    <x v="1"/>
    <x v="14"/>
    <x v="0"/>
    <x v="0"/>
    <x v="2"/>
    <n v="9775"/>
    <n v="30"/>
    <n v="69"/>
    <n v="325.83333333333331"/>
  </r>
  <r>
    <d v="2022-10-24T00:00:00"/>
    <s v="STU20220053"/>
    <s v="GEN101"/>
    <s v="General Studies"/>
    <x v="4"/>
    <x v="18"/>
    <x v="1"/>
    <x v="0"/>
    <x v="1"/>
    <n v="19749"/>
    <n v="20"/>
    <n v="87"/>
    <n v="987.45"/>
  </r>
  <r>
    <d v="2022-06-01T00:00:00"/>
    <s v="STU20220054"/>
    <s v="CS201"/>
    <s v="Data Structures"/>
    <x v="0"/>
    <x v="19"/>
    <x v="0"/>
    <x v="0"/>
    <x v="1"/>
    <n v="17797"/>
    <n v="20"/>
    <n v="74"/>
    <n v="889.85"/>
  </r>
  <r>
    <d v="2024-02-13T00:00:00"/>
    <s v="STU20220055"/>
    <s v="GEN101"/>
    <s v="General Studies"/>
    <x v="4"/>
    <x v="9"/>
    <x v="2"/>
    <x v="2"/>
    <x v="2"/>
    <n v="9972"/>
    <n v="15"/>
    <n v="58"/>
    <n v="664.8"/>
  </r>
  <r>
    <d v="2022-03-24T00:00:00"/>
    <s v="STU20220056"/>
    <s v="FIN101"/>
    <s v="Corporate Finance"/>
    <x v="1"/>
    <x v="4"/>
    <x v="2"/>
    <x v="0"/>
    <x v="1"/>
    <n v="20653"/>
    <n v="30"/>
    <n v="79"/>
    <n v="688.43333333333328"/>
  </r>
  <r>
    <d v="2024-07-25T00:00:00"/>
    <s v="STU20220057"/>
    <s v="GEN101"/>
    <s v="General Studies"/>
    <x v="1"/>
    <x v="14"/>
    <x v="0"/>
    <x v="2"/>
    <x v="2"/>
    <n v="9689"/>
    <n v="30"/>
    <n v="64"/>
    <n v="322.96666666666664"/>
  </r>
  <r>
    <d v="2023-03-28T00:00:00"/>
    <s v="STU20220058"/>
    <s v="GEN101"/>
    <s v="General Studies"/>
    <x v="0"/>
    <x v="11"/>
    <x v="2"/>
    <x v="1"/>
    <x v="1"/>
    <n v="23508"/>
    <n v="30"/>
    <n v="77"/>
    <n v="783.6"/>
  </r>
  <r>
    <d v="2022-10-25T00:00:00"/>
    <s v="STU20220059"/>
    <s v="GEN101"/>
    <s v="General Studies"/>
    <x v="1"/>
    <x v="1"/>
    <x v="1"/>
    <x v="0"/>
    <x v="0"/>
    <n v="13835"/>
    <n v="20"/>
    <n v="63"/>
    <n v="691.75"/>
  </r>
  <r>
    <d v="2024-07-21T00:00:00"/>
    <s v="STU20220060"/>
    <s v="MED201"/>
    <s v="Pathology"/>
    <x v="3"/>
    <x v="8"/>
    <x v="0"/>
    <x v="2"/>
    <x v="0"/>
    <n v="19166"/>
    <n v="15"/>
    <n v="77"/>
    <n v="1277.7333333333333"/>
  </r>
  <r>
    <d v="2023-02-28T00:00:00"/>
    <s v="STU20220061"/>
    <s v="ENG101"/>
    <s v="British Literature"/>
    <x v="4"/>
    <x v="5"/>
    <x v="2"/>
    <x v="1"/>
    <x v="0"/>
    <n v="17504"/>
    <n v="10"/>
    <n v="63"/>
    <n v="1750.4"/>
  </r>
  <r>
    <d v="2022-08-17T00:00:00"/>
    <s v="STU20220062"/>
    <s v="GEN101"/>
    <s v="General Studies"/>
    <x v="4"/>
    <x v="9"/>
    <x v="0"/>
    <x v="0"/>
    <x v="0"/>
    <n v="19127"/>
    <n v="20"/>
    <n v="64"/>
    <n v="956.35"/>
  </r>
  <r>
    <d v="2023-11-14T00:00:00"/>
    <s v="STU20220063"/>
    <s v="GEN101"/>
    <s v="General Studies"/>
    <x v="3"/>
    <x v="3"/>
    <x v="1"/>
    <x v="1"/>
    <x v="0"/>
    <n v="13562"/>
    <n v="10"/>
    <n v="79"/>
    <n v="1356.2"/>
  </r>
  <r>
    <d v="2023-11-16T00:00:00"/>
    <s v="STU20220064"/>
    <s v="BIO101"/>
    <s v="Cell Biology"/>
    <x v="2"/>
    <x v="2"/>
    <x v="1"/>
    <x v="1"/>
    <x v="2"/>
    <n v="10423"/>
    <n v="30"/>
    <n v="72"/>
    <n v="347.43333333333334"/>
  </r>
  <r>
    <d v="2023-02-19T00:00:00"/>
    <s v="STU20220065"/>
    <s v="ENG101"/>
    <s v="British Literature"/>
    <x v="4"/>
    <x v="5"/>
    <x v="2"/>
    <x v="1"/>
    <x v="2"/>
    <n v="9128"/>
    <n v="30"/>
    <n v="51"/>
    <n v="304.26666666666665"/>
  </r>
  <r>
    <d v="2022-07-07T00:00:00"/>
    <s v="STU20220066"/>
    <s v="ENG101"/>
    <s v="British Literature"/>
    <x v="4"/>
    <x v="5"/>
    <x v="0"/>
    <x v="0"/>
    <x v="2"/>
    <n v="9394"/>
    <n v="15"/>
    <n v="53"/>
    <n v="626.26666666666665"/>
  </r>
  <r>
    <d v="2024-02-23T00:00:00"/>
    <s v="STU20220067"/>
    <s v="GEN101"/>
    <s v="General Studies"/>
    <x v="2"/>
    <x v="6"/>
    <x v="2"/>
    <x v="2"/>
    <x v="1"/>
    <n v="19174"/>
    <n v="30"/>
    <n v="89"/>
    <n v="639.13333333333333"/>
  </r>
  <r>
    <d v="2024-09-15T00:00:00"/>
    <s v="STU20220068"/>
    <s v="GEN101"/>
    <s v="General Studies"/>
    <x v="2"/>
    <x v="6"/>
    <x v="1"/>
    <x v="2"/>
    <x v="0"/>
    <n v="12365"/>
    <n v="10"/>
    <n v="66"/>
    <n v="1236.5"/>
  </r>
  <r>
    <d v="2022-08-24T00:00:00"/>
    <s v="STU20220069"/>
    <s v="FIN101"/>
    <s v="Corporate Finance"/>
    <x v="1"/>
    <x v="4"/>
    <x v="0"/>
    <x v="0"/>
    <x v="0"/>
    <n v="15183"/>
    <n v="20"/>
    <n v="74"/>
    <n v="759.15"/>
  </r>
  <r>
    <d v="2023-03-16T00:00:00"/>
    <s v="STU20220070"/>
    <s v="GEN101"/>
    <s v="General Studies"/>
    <x v="2"/>
    <x v="6"/>
    <x v="2"/>
    <x v="1"/>
    <x v="0"/>
    <n v="19727"/>
    <n v="30"/>
    <n v="73"/>
    <n v="657.56666666666672"/>
  </r>
  <r>
    <d v="2024-03-11T00:00:00"/>
    <s v="STU20220071"/>
    <s v="MED101"/>
    <s v="Anatomy"/>
    <x v="3"/>
    <x v="8"/>
    <x v="2"/>
    <x v="2"/>
    <x v="2"/>
    <n v="9821"/>
    <n v="20"/>
    <n v="69"/>
    <n v="491.05"/>
  </r>
  <r>
    <d v="2024-01-15T00:00:00"/>
    <s v="STU20220072"/>
    <s v="GEN101"/>
    <s v="General Studies"/>
    <x v="2"/>
    <x v="10"/>
    <x v="2"/>
    <x v="2"/>
    <x v="0"/>
    <n v="17950"/>
    <n v="20"/>
    <n v="63"/>
    <n v="897.5"/>
  </r>
  <r>
    <d v="2022-02-26T00:00:00"/>
    <s v="STU20220073"/>
    <s v="GEN101"/>
    <s v="General Studies"/>
    <x v="4"/>
    <x v="9"/>
    <x v="2"/>
    <x v="0"/>
    <x v="0"/>
    <n v="16218"/>
    <n v="15"/>
    <n v="80"/>
    <n v="1081.2"/>
  </r>
  <r>
    <d v="2024-02-21T00:00:00"/>
    <s v="STU20220074"/>
    <s v="CS301"/>
    <s v="Machine Learning"/>
    <x v="0"/>
    <x v="19"/>
    <x v="2"/>
    <x v="2"/>
    <x v="2"/>
    <n v="10382"/>
    <n v="30"/>
    <n v="60"/>
    <n v="346.06666666666666"/>
  </r>
  <r>
    <d v="2022-01-10T00:00:00"/>
    <s v="STU20220075"/>
    <s v="GEN101"/>
    <s v="General Studies"/>
    <x v="3"/>
    <x v="15"/>
    <x v="2"/>
    <x v="0"/>
    <x v="2"/>
    <n v="10142"/>
    <n v="15"/>
    <n v="50"/>
    <n v="676.13333333333333"/>
  </r>
  <r>
    <d v="2022-07-09T00:00:00"/>
    <s v="STU20220076"/>
    <s v="GEN101"/>
    <s v="General Studies"/>
    <x v="3"/>
    <x v="15"/>
    <x v="0"/>
    <x v="0"/>
    <x v="2"/>
    <n v="9750"/>
    <n v="10"/>
    <n v="78"/>
    <n v="975"/>
  </r>
  <r>
    <d v="2024-10-07T00:00:00"/>
    <s v="STU20220077"/>
    <s v="CS101"/>
    <s v="Programming Fundamentals"/>
    <x v="0"/>
    <x v="19"/>
    <x v="1"/>
    <x v="2"/>
    <x v="2"/>
    <n v="10416"/>
    <n v="10"/>
    <n v="60"/>
    <n v="1041.5999999999999"/>
  </r>
  <r>
    <d v="2023-03-11T00:00:00"/>
    <s v="STU20220078"/>
    <s v="MKT101"/>
    <s v="Marketing Principles"/>
    <x v="1"/>
    <x v="7"/>
    <x v="2"/>
    <x v="1"/>
    <x v="2"/>
    <n v="10640"/>
    <n v="20"/>
    <n v="67"/>
    <n v="532"/>
  </r>
  <r>
    <d v="2023-03-03T00:00:00"/>
    <s v="STU20220079"/>
    <s v="FIN101"/>
    <s v="Corporate Finance"/>
    <x v="1"/>
    <x v="4"/>
    <x v="2"/>
    <x v="1"/>
    <x v="0"/>
    <n v="16179"/>
    <n v="20"/>
    <n v="61"/>
    <n v="808.95"/>
  </r>
  <r>
    <d v="2023-06-26T00:00:00"/>
    <s v="STU20220080"/>
    <s v="GEN101"/>
    <s v="General Studies"/>
    <x v="4"/>
    <x v="17"/>
    <x v="0"/>
    <x v="1"/>
    <x v="0"/>
    <n v="13382"/>
    <n v="15"/>
    <n v="59"/>
    <n v="892.13333333333333"/>
  </r>
  <r>
    <d v="2024-02-07T00:00:00"/>
    <s v="STU20220081"/>
    <s v="GEN101"/>
    <s v="General Studies"/>
    <x v="3"/>
    <x v="15"/>
    <x v="2"/>
    <x v="2"/>
    <x v="2"/>
    <n v="9683"/>
    <n v="20"/>
    <n v="56"/>
    <n v="484.15"/>
  </r>
  <r>
    <d v="2022-01-12T00:00:00"/>
    <s v="STU20220082"/>
    <s v="GEN101"/>
    <s v="General Studies"/>
    <x v="3"/>
    <x v="3"/>
    <x v="2"/>
    <x v="0"/>
    <x v="1"/>
    <n v="20736"/>
    <n v="15"/>
    <n v="63"/>
    <n v="1382.4"/>
  </r>
  <r>
    <d v="2023-07-17T00:00:00"/>
    <s v="STU20220083"/>
    <s v="GEN101"/>
    <s v="General Studies"/>
    <x v="0"/>
    <x v="11"/>
    <x v="0"/>
    <x v="1"/>
    <x v="2"/>
    <n v="9483"/>
    <n v="15"/>
    <n v="52"/>
    <n v="632.20000000000005"/>
  </r>
  <r>
    <d v="2022-06-28T00:00:00"/>
    <s v="STU20220084"/>
    <s v="GEN101"/>
    <s v="General Studies"/>
    <x v="1"/>
    <x v="1"/>
    <x v="0"/>
    <x v="0"/>
    <x v="1"/>
    <n v="16505"/>
    <n v="15"/>
    <n v="84"/>
    <n v="1100.3333333333333"/>
  </r>
  <r>
    <d v="2023-09-22T00:00:00"/>
    <s v="STU20220085"/>
    <s v="GEN101"/>
    <s v="General Studies"/>
    <x v="4"/>
    <x v="18"/>
    <x v="1"/>
    <x v="1"/>
    <x v="1"/>
    <n v="24536"/>
    <n v="15"/>
    <n v="72"/>
    <n v="1635.7333333333333"/>
  </r>
  <r>
    <d v="2022-07-14T00:00:00"/>
    <s v="STU20220086"/>
    <s v="MED101"/>
    <s v="Anatomy"/>
    <x v="3"/>
    <x v="8"/>
    <x v="0"/>
    <x v="0"/>
    <x v="0"/>
    <n v="16276"/>
    <n v="20"/>
    <n v="69"/>
    <n v="813.8"/>
  </r>
  <r>
    <d v="2024-08-13T00:00:00"/>
    <s v="STU20220087"/>
    <s v="GEN101"/>
    <s v="General Studies"/>
    <x v="3"/>
    <x v="12"/>
    <x v="0"/>
    <x v="2"/>
    <x v="0"/>
    <n v="15632"/>
    <n v="20"/>
    <n v="64"/>
    <n v="781.6"/>
  </r>
  <r>
    <d v="2024-03-10T00:00:00"/>
    <s v="STU20220088"/>
    <s v="GEN101"/>
    <s v="General Studies"/>
    <x v="0"/>
    <x v="11"/>
    <x v="2"/>
    <x v="2"/>
    <x v="0"/>
    <n v="18143"/>
    <n v="20"/>
    <n v="70"/>
    <n v="907.15"/>
  </r>
  <r>
    <d v="2024-07-05T00:00:00"/>
    <s v="STU20220089"/>
    <s v="FIN201"/>
    <s v="Investment Analysis"/>
    <x v="1"/>
    <x v="4"/>
    <x v="0"/>
    <x v="2"/>
    <x v="0"/>
    <n v="14302"/>
    <n v="15"/>
    <n v="82"/>
    <n v="953.4666666666667"/>
  </r>
  <r>
    <d v="2023-09-28T00:00:00"/>
    <s v="STU20220090"/>
    <s v="CS201"/>
    <s v="Data Structures"/>
    <x v="0"/>
    <x v="19"/>
    <x v="1"/>
    <x v="1"/>
    <x v="1"/>
    <n v="16776"/>
    <n v="20"/>
    <n v="89"/>
    <n v="838.8"/>
  </r>
  <r>
    <d v="2024-03-14T00:00:00"/>
    <s v="STU20220091"/>
    <s v="GEN101"/>
    <s v="General Studies"/>
    <x v="2"/>
    <x v="13"/>
    <x v="2"/>
    <x v="2"/>
    <x v="0"/>
    <n v="16429"/>
    <n v="15"/>
    <n v="77"/>
    <n v="1095.2666666666667"/>
  </r>
  <r>
    <d v="2023-11-01T00:00:00"/>
    <s v="STU20220092"/>
    <s v="GEN101"/>
    <s v="General Studies"/>
    <x v="0"/>
    <x v="0"/>
    <x v="1"/>
    <x v="1"/>
    <x v="0"/>
    <n v="16939"/>
    <n v="30"/>
    <n v="56"/>
    <n v="564.63333333333333"/>
  </r>
  <r>
    <d v="2022-11-13T00:00:00"/>
    <s v="STU20220093"/>
    <s v="GEN101"/>
    <s v="General Studies"/>
    <x v="0"/>
    <x v="11"/>
    <x v="1"/>
    <x v="0"/>
    <x v="0"/>
    <n v="12480"/>
    <n v="15"/>
    <n v="67"/>
    <n v="832"/>
  </r>
  <r>
    <d v="2023-09-19T00:00:00"/>
    <s v="STU20220094"/>
    <s v="GEN101"/>
    <s v="General Studies"/>
    <x v="2"/>
    <x v="10"/>
    <x v="1"/>
    <x v="1"/>
    <x v="0"/>
    <n v="19172"/>
    <n v="20"/>
    <n v="83"/>
    <n v="958.6"/>
  </r>
  <r>
    <d v="2023-06-25T00:00:00"/>
    <s v="STU20220095"/>
    <s v="GEN101"/>
    <s v="General Studies"/>
    <x v="1"/>
    <x v="14"/>
    <x v="0"/>
    <x v="1"/>
    <x v="1"/>
    <n v="21903"/>
    <n v="15"/>
    <n v="84"/>
    <n v="1460.2"/>
  </r>
  <r>
    <d v="2023-10-13T00:00:00"/>
    <s v="STU20220096"/>
    <s v="GEN101"/>
    <s v="General Studies"/>
    <x v="2"/>
    <x v="10"/>
    <x v="1"/>
    <x v="1"/>
    <x v="2"/>
    <n v="10134"/>
    <n v="30"/>
    <n v="72"/>
    <n v="337.8"/>
  </r>
  <r>
    <d v="2024-08-01T00:00:00"/>
    <s v="STU20220097"/>
    <s v="GEN101"/>
    <s v="General Studies"/>
    <x v="0"/>
    <x v="11"/>
    <x v="0"/>
    <x v="2"/>
    <x v="0"/>
    <n v="15533"/>
    <n v="10"/>
    <n v="61"/>
    <n v="1553.3"/>
  </r>
  <r>
    <d v="2023-03-15T00:00:00"/>
    <s v="STU20220098"/>
    <s v="GEN101"/>
    <s v="General Studies"/>
    <x v="4"/>
    <x v="18"/>
    <x v="2"/>
    <x v="1"/>
    <x v="1"/>
    <n v="17027"/>
    <n v="30"/>
    <n v="61"/>
    <n v="567.56666666666672"/>
  </r>
  <r>
    <d v="2023-08-25T00:00:00"/>
    <s v="STU20220099"/>
    <s v="GEN101"/>
    <s v="General Studies"/>
    <x v="2"/>
    <x v="6"/>
    <x v="0"/>
    <x v="1"/>
    <x v="2"/>
    <n v="9970"/>
    <n v="15"/>
    <n v="55"/>
    <n v="664.66666666666663"/>
  </r>
  <r>
    <d v="2022-01-13T00:00:00"/>
    <s v="STU20220100"/>
    <s v="ENG201"/>
    <s v="Modern Poetry"/>
    <x v="4"/>
    <x v="5"/>
    <x v="2"/>
    <x v="0"/>
    <x v="0"/>
    <n v="14381"/>
    <n v="20"/>
    <n v="68"/>
    <n v="719.05"/>
  </r>
  <r>
    <d v="2023-06-19T00:00:00"/>
    <s v="STU20220101"/>
    <s v="GEN101"/>
    <s v="General Studies"/>
    <x v="3"/>
    <x v="15"/>
    <x v="0"/>
    <x v="1"/>
    <x v="2"/>
    <n v="9934"/>
    <n v="10"/>
    <n v="79"/>
    <n v="993.4"/>
  </r>
  <r>
    <d v="2023-01-20T00:00:00"/>
    <s v="STU20220102"/>
    <s v="GEN101"/>
    <s v="General Studies"/>
    <x v="4"/>
    <x v="17"/>
    <x v="2"/>
    <x v="1"/>
    <x v="0"/>
    <n v="16884"/>
    <n v="15"/>
    <n v="67"/>
    <n v="1125.5999999999999"/>
  </r>
  <r>
    <d v="2023-06-08T00:00:00"/>
    <s v="STU20220103"/>
    <s v="GEN101"/>
    <s v="General Studies"/>
    <x v="2"/>
    <x v="13"/>
    <x v="0"/>
    <x v="1"/>
    <x v="0"/>
    <n v="13314"/>
    <n v="30"/>
    <n v="62"/>
    <n v="443.8"/>
  </r>
  <r>
    <d v="2023-03-17T00:00:00"/>
    <s v="STU20220104"/>
    <s v="MED201"/>
    <s v="Pathology"/>
    <x v="3"/>
    <x v="8"/>
    <x v="2"/>
    <x v="1"/>
    <x v="1"/>
    <n v="24613"/>
    <n v="30"/>
    <n v="77"/>
    <n v="820.43333333333328"/>
  </r>
  <r>
    <d v="2022-09-27T00:00:00"/>
    <s v="STU20220105"/>
    <s v="ENG101"/>
    <s v="British Literature"/>
    <x v="4"/>
    <x v="5"/>
    <x v="1"/>
    <x v="0"/>
    <x v="2"/>
    <n v="10817"/>
    <n v="10"/>
    <n v="68"/>
    <n v="1081.7"/>
  </r>
  <r>
    <d v="2024-10-09T00:00:00"/>
    <s v="STU20220106"/>
    <s v="MKT101"/>
    <s v="Marketing Principles"/>
    <x v="1"/>
    <x v="7"/>
    <x v="1"/>
    <x v="2"/>
    <x v="0"/>
    <n v="19886"/>
    <n v="30"/>
    <n v="75"/>
    <n v="662.86666666666667"/>
  </r>
  <r>
    <d v="2023-03-05T00:00:00"/>
    <s v="STU20220107"/>
    <s v="MED101"/>
    <s v="Anatomy"/>
    <x v="3"/>
    <x v="8"/>
    <x v="2"/>
    <x v="1"/>
    <x v="0"/>
    <n v="16500"/>
    <n v="30"/>
    <n v="56"/>
    <n v="550"/>
  </r>
  <r>
    <d v="2022-07-17T00:00:00"/>
    <s v="STU20220108"/>
    <s v="GEN101"/>
    <s v="General Studies"/>
    <x v="2"/>
    <x v="10"/>
    <x v="0"/>
    <x v="0"/>
    <x v="2"/>
    <n v="9684"/>
    <n v="20"/>
    <n v="56"/>
    <n v="484.2"/>
  </r>
  <r>
    <d v="2023-11-16T00:00:00"/>
    <s v="STU20220109"/>
    <s v="MKT301"/>
    <s v="Brand Management"/>
    <x v="1"/>
    <x v="7"/>
    <x v="1"/>
    <x v="1"/>
    <x v="0"/>
    <n v="12468"/>
    <n v="30"/>
    <n v="68"/>
    <n v="415.6"/>
  </r>
  <r>
    <d v="2023-07-04T00:00:00"/>
    <s v="STU20220110"/>
    <s v="GEN101"/>
    <s v="General Studies"/>
    <x v="1"/>
    <x v="1"/>
    <x v="0"/>
    <x v="1"/>
    <x v="1"/>
    <n v="22527"/>
    <n v="20"/>
    <n v="61"/>
    <n v="1126.3499999999999"/>
  </r>
  <r>
    <d v="2022-06-04T00:00:00"/>
    <s v="STU20220111"/>
    <s v="GEN101"/>
    <s v="General Studies"/>
    <x v="4"/>
    <x v="9"/>
    <x v="0"/>
    <x v="0"/>
    <x v="1"/>
    <n v="18415"/>
    <n v="15"/>
    <n v="78"/>
    <n v="1227.6666666666667"/>
  </r>
  <r>
    <d v="2023-01-22T00:00:00"/>
    <s v="STU20220112"/>
    <s v="GEN101"/>
    <s v="General Studies"/>
    <x v="2"/>
    <x v="6"/>
    <x v="2"/>
    <x v="1"/>
    <x v="0"/>
    <n v="18980"/>
    <n v="20"/>
    <n v="61"/>
    <n v="949"/>
  </r>
  <r>
    <d v="2023-06-16T00:00:00"/>
    <s v="STU20220113"/>
    <s v="GEN101"/>
    <s v="General Studies"/>
    <x v="4"/>
    <x v="17"/>
    <x v="0"/>
    <x v="1"/>
    <x v="1"/>
    <n v="20895"/>
    <n v="10"/>
    <n v="78"/>
    <n v="2089.5"/>
  </r>
  <r>
    <d v="2022-11-23T00:00:00"/>
    <s v="STU20220114"/>
    <s v="GEN101"/>
    <s v="General Studies"/>
    <x v="3"/>
    <x v="15"/>
    <x v="1"/>
    <x v="0"/>
    <x v="1"/>
    <n v="18240"/>
    <n v="30"/>
    <n v="63"/>
    <n v="608"/>
  </r>
  <r>
    <d v="2023-09-01T00:00:00"/>
    <s v="STU20220115"/>
    <s v="GEN101"/>
    <s v="General Studies"/>
    <x v="2"/>
    <x v="6"/>
    <x v="1"/>
    <x v="1"/>
    <x v="1"/>
    <n v="18462"/>
    <n v="30"/>
    <n v="78"/>
    <n v="615.4"/>
  </r>
  <r>
    <d v="2024-10-07T00:00:00"/>
    <s v="STU20220116"/>
    <s v="BIO301"/>
    <s v="Molecular Biology"/>
    <x v="2"/>
    <x v="2"/>
    <x v="1"/>
    <x v="2"/>
    <x v="1"/>
    <n v="15495"/>
    <n v="15"/>
    <n v="65"/>
    <n v="1033"/>
  </r>
  <r>
    <d v="2024-03-18T00:00:00"/>
    <s v="STU20220117"/>
    <s v="GEN101"/>
    <s v="General Studies"/>
    <x v="4"/>
    <x v="17"/>
    <x v="2"/>
    <x v="2"/>
    <x v="0"/>
    <n v="14663"/>
    <n v="15"/>
    <n v="59"/>
    <n v="977.5333333333333"/>
  </r>
  <r>
    <d v="2024-08-17T00:00:00"/>
    <s v="STU20220118"/>
    <s v="CS201"/>
    <s v="Data Structures"/>
    <x v="0"/>
    <x v="19"/>
    <x v="0"/>
    <x v="2"/>
    <x v="1"/>
    <n v="21656"/>
    <n v="30"/>
    <n v="87"/>
    <n v="721.86666666666667"/>
  </r>
  <r>
    <d v="2023-11-10T00:00:00"/>
    <s v="STU20220119"/>
    <s v="ENG301"/>
    <s v="Shakespeare Studies"/>
    <x v="4"/>
    <x v="5"/>
    <x v="1"/>
    <x v="1"/>
    <x v="0"/>
    <n v="19732"/>
    <n v="15"/>
    <n v="68"/>
    <n v="1315.4666666666667"/>
  </r>
  <r>
    <d v="2023-02-17T00:00:00"/>
    <s v="STU20220120"/>
    <s v="GEN101"/>
    <s v="General Studies"/>
    <x v="3"/>
    <x v="3"/>
    <x v="2"/>
    <x v="1"/>
    <x v="0"/>
    <n v="18552"/>
    <n v="10"/>
    <n v="80"/>
    <n v="1855.2"/>
  </r>
  <r>
    <d v="2022-10-20T00:00:00"/>
    <s v="STU20220121"/>
    <s v="MED101"/>
    <s v="Anatomy"/>
    <x v="3"/>
    <x v="8"/>
    <x v="1"/>
    <x v="0"/>
    <x v="2"/>
    <n v="9230"/>
    <n v="10"/>
    <n v="74"/>
    <n v="923"/>
  </r>
  <r>
    <d v="2022-06-24T00:00:00"/>
    <s v="STU20220122"/>
    <s v="GEN101"/>
    <s v="General Studies"/>
    <x v="3"/>
    <x v="15"/>
    <x v="0"/>
    <x v="0"/>
    <x v="2"/>
    <n v="10504"/>
    <n v="30"/>
    <n v="57"/>
    <n v="350.13333333333333"/>
  </r>
  <r>
    <d v="2022-11-26T00:00:00"/>
    <s v="STU20220123"/>
    <s v="ME301"/>
    <s v="Fluid Mechanics"/>
    <x v="0"/>
    <x v="16"/>
    <x v="1"/>
    <x v="0"/>
    <x v="2"/>
    <n v="9458"/>
    <n v="30"/>
    <n v="63"/>
    <n v="315.26666666666665"/>
  </r>
  <r>
    <d v="2024-09-04T00:00:00"/>
    <s v="STU20220124"/>
    <s v="GEN101"/>
    <s v="General Studies"/>
    <x v="4"/>
    <x v="9"/>
    <x v="1"/>
    <x v="2"/>
    <x v="2"/>
    <n v="10235"/>
    <n v="30"/>
    <n v="50"/>
    <n v="341.16666666666669"/>
  </r>
  <r>
    <d v="2023-08-07T00:00:00"/>
    <s v="STU20220125"/>
    <s v="GEN101"/>
    <s v="General Studies"/>
    <x v="4"/>
    <x v="9"/>
    <x v="0"/>
    <x v="1"/>
    <x v="1"/>
    <n v="24158"/>
    <n v="15"/>
    <n v="64"/>
    <n v="1610.5333333333333"/>
  </r>
  <r>
    <d v="2023-09-27T00:00:00"/>
    <s v="STU20220126"/>
    <s v="GEN101"/>
    <s v="General Studies"/>
    <x v="4"/>
    <x v="17"/>
    <x v="1"/>
    <x v="1"/>
    <x v="0"/>
    <n v="13135"/>
    <n v="10"/>
    <n v="83"/>
    <n v="1313.5"/>
  </r>
  <r>
    <d v="2022-11-26T00:00:00"/>
    <s v="STU20220127"/>
    <s v="MED201"/>
    <s v="Pathology"/>
    <x v="3"/>
    <x v="8"/>
    <x v="1"/>
    <x v="0"/>
    <x v="2"/>
    <n v="9003"/>
    <n v="20"/>
    <n v="57"/>
    <n v="450.15"/>
  </r>
  <r>
    <d v="2023-03-09T00:00:00"/>
    <s v="STU20220128"/>
    <s v="GEN101"/>
    <s v="General Studies"/>
    <x v="0"/>
    <x v="0"/>
    <x v="2"/>
    <x v="1"/>
    <x v="0"/>
    <n v="12101"/>
    <n v="30"/>
    <n v="84"/>
    <n v="403.36666666666667"/>
  </r>
  <r>
    <d v="2023-08-01T00:00:00"/>
    <s v="STU20220129"/>
    <s v="FIN301"/>
    <s v="Risk Management"/>
    <x v="1"/>
    <x v="4"/>
    <x v="0"/>
    <x v="1"/>
    <x v="0"/>
    <n v="13145"/>
    <n v="20"/>
    <n v="73"/>
    <n v="657.25"/>
  </r>
  <r>
    <d v="2023-06-27T00:00:00"/>
    <s v="STU20220130"/>
    <s v="GEN101"/>
    <s v="General Studies"/>
    <x v="4"/>
    <x v="9"/>
    <x v="0"/>
    <x v="1"/>
    <x v="1"/>
    <n v="24894"/>
    <n v="20"/>
    <n v="83"/>
    <n v="1244.7"/>
  </r>
  <r>
    <d v="2023-10-02T00:00:00"/>
    <s v="STU20220131"/>
    <s v="ENG101"/>
    <s v="British Literature"/>
    <x v="4"/>
    <x v="5"/>
    <x v="1"/>
    <x v="1"/>
    <x v="0"/>
    <n v="13404"/>
    <n v="10"/>
    <n v="82"/>
    <n v="1340.4"/>
  </r>
  <r>
    <d v="2024-01-08T00:00:00"/>
    <s v="STU20220132"/>
    <s v="GEN101"/>
    <s v="General Studies"/>
    <x v="3"/>
    <x v="12"/>
    <x v="2"/>
    <x v="2"/>
    <x v="0"/>
    <n v="15600"/>
    <n v="30"/>
    <n v="79"/>
    <n v="520"/>
  </r>
  <r>
    <d v="2024-02-25T00:00:00"/>
    <s v="STU20220133"/>
    <s v="GEN101"/>
    <s v="General Studies"/>
    <x v="3"/>
    <x v="15"/>
    <x v="2"/>
    <x v="2"/>
    <x v="2"/>
    <n v="9009"/>
    <n v="30"/>
    <n v="63"/>
    <n v="300.3"/>
  </r>
  <r>
    <d v="2023-07-05T00:00:00"/>
    <s v="STU20220134"/>
    <s v="GEN101"/>
    <s v="General Studies"/>
    <x v="1"/>
    <x v="1"/>
    <x v="0"/>
    <x v="1"/>
    <x v="0"/>
    <n v="14181"/>
    <n v="30"/>
    <n v="82"/>
    <n v="472.7"/>
  </r>
  <r>
    <d v="2022-01-25T00:00:00"/>
    <s v="STU20220135"/>
    <s v="ME301"/>
    <s v="Fluid Mechanics"/>
    <x v="0"/>
    <x v="16"/>
    <x v="2"/>
    <x v="0"/>
    <x v="2"/>
    <n v="9975"/>
    <n v="15"/>
    <n v="69"/>
    <n v="665"/>
  </r>
  <r>
    <d v="2023-09-10T00:00:00"/>
    <s v="STU20220136"/>
    <s v="GEN101"/>
    <s v="General Studies"/>
    <x v="2"/>
    <x v="10"/>
    <x v="1"/>
    <x v="1"/>
    <x v="1"/>
    <n v="15030"/>
    <n v="30"/>
    <n v="60"/>
    <n v="501"/>
  </r>
  <r>
    <d v="2024-11-12T00:00:00"/>
    <s v="STU20220137"/>
    <s v="GEN101"/>
    <s v="General Studies"/>
    <x v="3"/>
    <x v="3"/>
    <x v="1"/>
    <x v="2"/>
    <x v="1"/>
    <n v="16223"/>
    <n v="15"/>
    <n v="72"/>
    <n v="1081.5333333333333"/>
  </r>
  <r>
    <d v="2023-08-07T00:00:00"/>
    <s v="STU20220138"/>
    <s v="GEN101"/>
    <s v="General Studies"/>
    <x v="0"/>
    <x v="0"/>
    <x v="0"/>
    <x v="1"/>
    <x v="1"/>
    <n v="16148"/>
    <n v="10"/>
    <n v="88"/>
    <n v="1614.8"/>
  </r>
  <r>
    <d v="2024-08-09T00:00:00"/>
    <s v="STU20220139"/>
    <s v="GEN101"/>
    <s v="General Studies"/>
    <x v="0"/>
    <x v="0"/>
    <x v="0"/>
    <x v="2"/>
    <x v="2"/>
    <n v="10192"/>
    <n v="30"/>
    <n v="61"/>
    <n v="339.73333333333335"/>
  </r>
  <r>
    <d v="2024-09-03T00:00:00"/>
    <s v="STU20220140"/>
    <s v="GEN101"/>
    <s v="General Studies"/>
    <x v="1"/>
    <x v="14"/>
    <x v="1"/>
    <x v="2"/>
    <x v="0"/>
    <n v="19823"/>
    <n v="20"/>
    <n v="71"/>
    <n v="991.15"/>
  </r>
  <r>
    <d v="2024-11-23T00:00:00"/>
    <s v="STU20220141"/>
    <s v="GEN101"/>
    <s v="General Studies"/>
    <x v="3"/>
    <x v="15"/>
    <x v="1"/>
    <x v="2"/>
    <x v="2"/>
    <n v="10618"/>
    <n v="10"/>
    <n v="53"/>
    <n v="1061.8"/>
  </r>
  <r>
    <d v="2024-01-15T00:00:00"/>
    <s v="STU20220142"/>
    <s v="BIO301"/>
    <s v="Molecular Biology"/>
    <x v="2"/>
    <x v="2"/>
    <x v="2"/>
    <x v="2"/>
    <x v="2"/>
    <n v="9420"/>
    <n v="20"/>
    <n v="59"/>
    <n v="471"/>
  </r>
  <r>
    <d v="2022-10-15T00:00:00"/>
    <s v="STU20220143"/>
    <s v="CS301"/>
    <s v="Machine Learning"/>
    <x v="0"/>
    <x v="19"/>
    <x v="1"/>
    <x v="0"/>
    <x v="0"/>
    <n v="18527"/>
    <n v="15"/>
    <n v="83"/>
    <n v="1235.1333333333334"/>
  </r>
  <r>
    <d v="2022-11-25T00:00:00"/>
    <s v="STU20220144"/>
    <s v="GEN101"/>
    <s v="General Studies"/>
    <x v="3"/>
    <x v="3"/>
    <x v="1"/>
    <x v="0"/>
    <x v="1"/>
    <n v="17458"/>
    <n v="10"/>
    <n v="67"/>
    <n v="1745.8"/>
  </r>
  <r>
    <d v="2022-01-24T00:00:00"/>
    <s v="STU20220145"/>
    <s v="MKT201"/>
    <s v="Digital Marketing"/>
    <x v="1"/>
    <x v="7"/>
    <x v="2"/>
    <x v="0"/>
    <x v="0"/>
    <n v="13940"/>
    <n v="30"/>
    <n v="70"/>
    <n v="464.66666666666669"/>
  </r>
  <r>
    <d v="2023-07-09T00:00:00"/>
    <s v="STU20220146"/>
    <s v="CS201"/>
    <s v="Data Structures"/>
    <x v="0"/>
    <x v="19"/>
    <x v="0"/>
    <x v="1"/>
    <x v="0"/>
    <n v="16925"/>
    <n v="10"/>
    <n v="76"/>
    <n v="1692.5"/>
  </r>
  <r>
    <d v="2023-06-20T00:00:00"/>
    <s v="STU20220147"/>
    <s v="GEN101"/>
    <s v="General Studies"/>
    <x v="2"/>
    <x v="10"/>
    <x v="0"/>
    <x v="1"/>
    <x v="0"/>
    <n v="14334"/>
    <n v="10"/>
    <n v="80"/>
    <n v="1433.4"/>
  </r>
  <r>
    <d v="2022-10-15T00:00:00"/>
    <s v="STU20220148"/>
    <s v="FIN301"/>
    <s v="Risk Management"/>
    <x v="1"/>
    <x v="4"/>
    <x v="1"/>
    <x v="0"/>
    <x v="2"/>
    <n v="9251"/>
    <n v="15"/>
    <n v="79"/>
    <n v="616.73333333333335"/>
  </r>
  <r>
    <d v="2023-10-22T00:00:00"/>
    <s v="STU20220149"/>
    <s v="GEN101"/>
    <s v="General Studies"/>
    <x v="0"/>
    <x v="11"/>
    <x v="1"/>
    <x v="1"/>
    <x v="0"/>
    <n v="16774"/>
    <n v="20"/>
    <n v="84"/>
    <n v="838.7"/>
  </r>
  <r>
    <d v="2022-10-24T00:00:00"/>
    <s v="STU20220150"/>
    <s v="GEN101"/>
    <s v="General Studies"/>
    <x v="1"/>
    <x v="14"/>
    <x v="1"/>
    <x v="0"/>
    <x v="2"/>
    <n v="9714"/>
    <n v="15"/>
    <n v="78"/>
    <n v="647.6"/>
  </r>
  <r>
    <d v="2023-01-07T00:00:00"/>
    <s v="STU20220151"/>
    <s v="GEN101"/>
    <s v="General Studies"/>
    <x v="3"/>
    <x v="12"/>
    <x v="2"/>
    <x v="1"/>
    <x v="2"/>
    <n v="9284"/>
    <n v="15"/>
    <n v="54"/>
    <n v="618.93333333333328"/>
  </r>
  <r>
    <d v="2022-08-20T00:00:00"/>
    <s v="STU20220152"/>
    <s v="GEN101"/>
    <s v="General Studies"/>
    <x v="4"/>
    <x v="17"/>
    <x v="0"/>
    <x v="0"/>
    <x v="0"/>
    <n v="14872"/>
    <n v="20"/>
    <n v="77"/>
    <n v="743.6"/>
  </r>
  <r>
    <d v="2024-09-22T00:00:00"/>
    <s v="STU20220153"/>
    <s v="GEN101"/>
    <s v="General Studies"/>
    <x v="2"/>
    <x v="6"/>
    <x v="1"/>
    <x v="2"/>
    <x v="0"/>
    <n v="17593"/>
    <n v="10"/>
    <n v="76"/>
    <n v="1759.3"/>
  </r>
  <r>
    <d v="2023-02-12T00:00:00"/>
    <s v="STU20220154"/>
    <s v="GEN101"/>
    <s v="General Studies"/>
    <x v="3"/>
    <x v="12"/>
    <x v="2"/>
    <x v="1"/>
    <x v="2"/>
    <n v="9728"/>
    <n v="20"/>
    <n v="73"/>
    <n v="486.4"/>
  </r>
  <r>
    <d v="2022-06-23T00:00:00"/>
    <s v="STU20220155"/>
    <s v="GEN101"/>
    <s v="General Studies"/>
    <x v="0"/>
    <x v="0"/>
    <x v="0"/>
    <x v="0"/>
    <x v="0"/>
    <n v="13934"/>
    <n v="20"/>
    <n v="78"/>
    <n v="696.7"/>
  </r>
  <r>
    <d v="2023-03-27T00:00:00"/>
    <s v="STU20220156"/>
    <s v="BIO201"/>
    <s v="Genetics"/>
    <x v="2"/>
    <x v="2"/>
    <x v="2"/>
    <x v="1"/>
    <x v="2"/>
    <n v="10931"/>
    <n v="30"/>
    <n v="72"/>
    <n v="364.36666666666667"/>
  </r>
  <r>
    <d v="2022-07-26T00:00:00"/>
    <s v="STU20220157"/>
    <s v="GEN101"/>
    <s v="General Studies"/>
    <x v="3"/>
    <x v="3"/>
    <x v="0"/>
    <x v="0"/>
    <x v="2"/>
    <n v="9547"/>
    <n v="30"/>
    <n v="77"/>
    <n v="318.23333333333335"/>
  </r>
  <r>
    <d v="2023-09-15T00:00:00"/>
    <s v="STU20220158"/>
    <s v="GEN101"/>
    <s v="General Studies"/>
    <x v="1"/>
    <x v="14"/>
    <x v="1"/>
    <x v="1"/>
    <x v="2"/>
    <n v="10709"/>
    <n v="30"/>
    <n v="66"/>
    <n v="356.96666666666664"/>
  </r>
  <r>
    <d v="2023-06-06T00:00:00"/>
    <s v="STU20220159"/>
    <s v="CS101"/>
    <s v="Programming Fundamentals"/>
    <x v="0"/>
    <x v="19"/>
    <x v="0"/>
    <x v="1"/>
    <x v="0"/>
    <n v="13404"/>
    <n v="10"/>
    <n v="67"/>
    <n v="1340.4"/>
  </r>
  <r>
    <d v="2024-06-25T00:00:00"/>
    <s v="STU20220160"/>
    <s v="GEN101"/>
    <s v="General Studies"/>
    <x v="4"/>
    <x v="18"/>
    <x v="0"/>
    <x v="2"/>
    <x v="2"/>
    <n v="10856"/>
    <n v="10"/>
    <n v="68"/>
    <n v="1085.5999999999999"/>
  </r>
  <r>
    <d v="2023-10-18T00:00:00"/>
    <s v="STU20220161"/>
    <s v="GEN101"/>
    <s v="General Studies"/>
    <x v="0"/>
    <x v="11"/>
    <x v="1"/>
    <x v="1"/>
    <x v="0"/>
    <n v="18938"/>
    <n v="30"/>
    <n v="77"/>
    <n v="631.26666666666665"/>
  </r>
  <r>
    <d v="2023-11-12T00:00:00"/>
    <s v="STU20220162"/>
    <s v="GEN101"/>
    <s v="General Studies"/>
    <x v="1"/>
    <x v="1"/>
    <x v="1"/>
    <x v="1"/>
    <x v="1"/>
    <n v="16871"/>
    <n v="10"/>
    <n v="67"/>
    <n v="1687.1"/>
  </r>
  <r>
    <d v="2024-07-13T00:00:00"/>
    <s v="STU20220163"/>
    <s v="GEN101"/>
    <s v="General Studies"/>
    <x v="2"/>
    <x v="6"/>
    <x v="0"/>
    <x v="2"/>
    <x v="2"/>
    <n v="9167"/>
    <n v="15"/>
    <n v="58"/>
    <n v="611.13333333333333"/>
  </r>
  <r>
    <d v="2024-06-17T00:00:00"/>
    <s v="STU20220164"/>
    <s v="GEN101"/>
    <s v="General Studies"/>
    <x v="4"/>
    <x v="18"/>
    <x v="0"/>
    <x v="2"/>
    <x v="1"/>
    <n v="24632"/>
    <n v="15"/>
    <n v="89"/>
    <n v="1642.1333333333334"/>
  </r>
  <r>
    <d v="2023-11-18T00:00:00"/>
    <s v="STU20220165"/>
    <s v="GEN101"/>
    <s v="General Studies"/>
    <x v="1"/>
    <x v="14"/>
    <x v="1"/>
    <x v="1"/>
    <x v="2"/>
    <n v="10797"/>
    <n v="30"/>
    <n v="66"/>
    <n v="359.9"/>
  </r>
  <r>
    <d v="2022-07-04T00:00:00"/>
    <s v="STU20220166"/>
    <s v="GEN101"/>
    <s v="General Studies"/>
    <x v="2"/>
    <x v="13"/>
    <x v="0"/>
    <x v="0"/>
    <x v="1"/>
    <n v="23559"/>
    <n v="10"/>
    <n v="89"/>
    <n v="2355.9"/>
  </r>
  <r>
    <d v="2023-06-08T00:00:00"/>
    <s v="STU20220167"/>
    <s v="GEN101"/>
    <s v="General Studies"/>
    <x v="0"/>
    <x v="11"/>
    <x v="0"/>
    <x v="1"/>
    <x v="1"/>
    <n v="15491"/>
    <n v="30"/>
    <n v="84"/>
    <n v="516.36666666666667"/>
  </r>
  <r>
    <d v="2024-10-09T00:00:00"/>
    <s v="STU20220168"/>
    <s v="ME301"/>
    <s v="Fluid Mechanics"/>
    <x v="0"/>
    <x v="16"/>
    <x v="1"/>
    <x v="2"/>
    <x v="2"/>
    <n v="10277"/>
    <n v="20"/>
    <n v="72"/>
    <n v="513.85"/>
  </r>
  <r>
    <d v="2023-08-08T00:00:00"/>
    <s v="STU20220169"/>
    <s v="GEN101"/>
    <s v="General Studies"/>
    <x v="2"/>
    <x v="13"/>
    <x v="0"/>
    <x v="1"/>
    <x v="0"/>
    <n v="13671"/>
    <n v="10"/>
    <n v="78"/>
    <n v="1367.1"/>
  </r>
  <r>
    <d v="2024-03-26T00:00:00"/>
    <s v="STU20220170"/>
    <s v="GEN101"/>
    <s v="General Studies"/>
    <x v="3"/>
    <x v="15"/>
    <x v="2"/>
    <x v="2"/>
    <x v="2"/>
    <n v="9932"/>
    <n v="20"/>
    <n v="55"/>
    <n v="496.6"/>
  </r>
  <r>
    <d v="2024-11-17T00:00:00"/>
    <s v="STU20220171"/>
    <s v="GEN101"/>
    <s v="General Studies"/>
    <x v="0"/>
    <x v="0"/>
    <x v="1"/>
    <x v="2"/>
    <x v="0"/>
    <n v="17651"/>
    <n v="30"/>
    <n v="62"/>
    <n v="588.36666666666667"/>
  </r>
  <r>
    <d v="2023-01-06T00:00:00"/>
    <s v="STU20220172"/>
    <s v="GEN101"/>
    <s v="General Studies"/>
    <x v="2"/>
    <x v="6"/>
    <x v="2"/>
    <x v="1"/>
    <x v="0"/>
    <n v="17196"/>
    <n v="15"/>
    <n v="73"/>
    <n v="1146.4000000000001"/>
  </r>
  <r>
    <d v="2023-10-24T00:00:00"/>
    <s v="STU20220173"/>
    <s v="GEN101"/>
    <s v="General Studies"/>
    <x v="2"/>
    <x v="6"/>
    <x v="1"/>
    <x v="1"/>
    <x v="0"/>
    <n v="18029"/>
    <n v="10"/>
    <n v="71"/>
    <n v="1802.9"/>
  </r>
  <r>
    <d v="2023-08-12T00:00:00"/>
    <s v="STU20220174"/>
    <s v="ME301"/>
    <s v="Fluid Mechanics"/>
    <x v="0"/>
    <x v="16"/>
    <x v="0"/>
    <x v="1"/>
    <x v="1"/>
    <n v="22603"/>
    <n v="10"/>
    <n v="86"/>
    <n v="2260.3000000000002"/>
  </r>
  <r>
    <d v="2023-03-11T00:00:00"/>
    <s v="STU20220175"/>
    <s v="GEN101"/>
    <s v="General Studies"/>
    <x v="0"/>
    <x v="0"/>
    <x v="2"/>
    <x v="1"/>
    <x v="0"/>
    <n v="15054"/>
    <n v="20"/>
    <n v="66"/>
    <n v="752.7"/>
  </r>
  <r>
    <d v="2024-01-27T00:00:00"/>
    <s v="STU20220176"/>
    <s v="GEN101"/>
    <s v="General Studies"/>
    <x v="2"/>
    <x v="6"/>
    <x v="2"/>
    <x v="2"/>
    <x v="1"/>
    <n v="15638"/>
    <n v="30"/>
    <n v="85"/>
    <n v="521.26666666666665"/>
  </r>
  <r>
    <d v="2024-01-21T00:00:00"/>
    <s v="STU20220177"/>
    <s v="GEN101"/>
    <s v="General Studies"/>
    <x v="1"/>
    <x v="1"/>
    <x v="2"/>
    <x v="2"/>
    <x v="1"/>
    <n v="15837"/>
    <n v="20"/>
    <n v="88"/>
    <n v="791.85"/>
  </r>
  <r>
    <d v="2022-02-07T00:00:00"/>
    <s v="STU20220178"/>
    <s v="GEN101"/>
    <s v="General Studies"/>
    <x v="1"/>
    <x v="1"/>
    <x v="2"/>
    <x v="0"/>
    <x v="0"/>
    <n v="13015"/>
    <n v="30"/>
    <n v="77"/>
    <n v="433.83333333333331"/>
  </r>
  <r>
    <d v="2024-06-20T00:00:00"/>
    <s v="STU20220179"/>
    <s v="GEN101"/>
    <s v="General Studies"/>
    <x v="2"/>
    <x v="10"/>
    <x v="0"/>
    <x v="2"/>
    <x v="2"/>
    <n v="9157"/>
    <n v="15"/>
    <n v="66"/>
    <n v="610.4666666666667"/>
  </r>
  <r>
    <d v="2023-02-20T00:00:00"/>
    <s v="STU20220180"/>
    <s v="GEN101"/>
    <s v="General Studies"/>
    <x v="0"/>
    <x v="0"/>
    <x v="2"/>
    <x v="1"/>
    <x v="1"/>
    <n v="21738"/>
    <n v="15"/>
    <n v="83"/>
    <n v="1449.2"/>
  </r>
  <r>
    <d v="2023-01-02T00:00:00"/>
    <s v="STU20220181"/>
    <s v="GEN101"/>
    <s v="General Studies"/>
    <x v="3"/>
    <x v="15"/>
    <x v="2"/>
    <x v="1"/>
    <x v="2"/>
    <n v="10574"/>
    <n v="20"/>
    <n v="65"/>
    <n v="528.70000000000005"/>
  </r>
  <r>
    <d v="2024-03-24T00:00:00"/>
    <s v="STU20220182"/>
    <s v="GEN101"/>
    <s v="General Studies"/>
    <x v="1"/>
    <x v="14"/>
    <x v="2"/>
    <x v="2"/>
    <x v="1"/>
    <n v="20809"/>
    <n v="10"/>
    <n v="63"/>
    <n v="2080.9"/>
  </r>
  <r>
    <d v="2023-07-23T00:00:00"/>
    <s v="STU20220183"/>
    <s v="ME101"/>
    <s v="Engineering Mechanics"/>
    <x v="0"/>
    <x v="16"/>
    <x v="0"/>
    <x v="1"/>
    <x v="2"/>
    <n v="9357"/>
    <n v="10"/>
    <n v="63"/>
    <n v="935.7"/>
  </r>
  <r>
    <d v="2024-01-28T00:00:00"/>
    <s v="STU20220184"/>
    <s v="ME201"/>
    <s v="Thermodynamics"/>
    <x v="0"/>
    <x v="16"/>
    <x v="2"/>
    <x v="2"/>
    <x v="2"/>
    <n v="10543"/>
    <n v="30"/>
    <n v="59"/>
    <n v="351.43333333333334"/>
  </r>
  <r>
    <d v="2023-07-14T00:00:00"/>
    <s v="STU20220185"/>
    <s v="GEN101"/>
    <s v="General Studies"/>
    <x v="3"/>
    <x v="12"/>
    <x v="0"/>
    <x v="1"/>
    <x v="1"/>
    <n v="23347"/>
    <n v="30"/>
    <n v="74"/>
    <n v="778.23333333333335"/>
  </r>
  <r>
    <d v="2022-08-01T00:00:00"/>
    <s v="STU20220186"/>
    <s v="GEN101"/>
    <s v="General Studies"/>
    <x v="2"/>
    <x v="10"/>
    <x v="0"/>
    <x v="0"/>
    <x v="1"/>
    <n v="16282"/>
    <n v="30"/>
    <n v="88"/>
    <n v="542.73333333333335"/>
  </r>
  <r>
    <d v="2024-08-06T00:00:00"/>
    <s v="STU20220187"/>
    <s v="GEN101"/>
    <s v="General Studies"/>
    <x v="3"/>
    <x v="15"/>
    <x v="0"/>
    <x v="2"/>
    <x v="1"/>
    <n v="22721"/>
    <n v="10"/>
    <n v="79"/>
    <n v="2272.1"/>
  </r>
  <r>
    <d v="2022-01-27T00:00:00"/>
    <s v="STU20220188"/>
    <s v="GEN101"/>
    <s v="General Studies"/>
    <x v="3"/>
    <x v="3"/>
    <x v="2"/>
    <x v="0"/>
    <x v="2"/>
    <n v="10710"/>
    <n v="15"/>
    <n v="79"/>
    <n v="714"/>
  </r>
  <r>
    <d v="2022-02-19T00:00:00"/>
    <s v="STU20220189"/>
    <s v="MED301"/>
    <s v="Clinical Practice"/>
    <x v="3"/>
    <x v="8"/>
    <x v="2"/>
    <x v="0"/>
    <x v="2"/>
    <n v="9263"/>
    <n v="20"/>
    <n v="70"/>
    <n v="463.15"/>
  </r>
  <r>
    <d v="2023-07-15T00:00:00"/>
    <s v="STU20220190"/>
    <s v="MKT101"/>
    <s v="Marketing Principles"/>
    <x v="1"/>
    <x v="7"/>
    <x v="0"/>
    <x v="1"/>
    <x v="0"/>
    <n v="18838"/>
    <n v="15"/>
    <n v="72"/>
    <n v="1255.8666666666666"/>
  </r>
  <r>
    <d v="2022-03-01T00:00:00"/>
    <s v="STU20220191"/>
    <s v="FIN201"/>
    <s v="Investment Analysis"/>
    <x v="1"/>
    <x v="4"/>
    <x v="2"/>
    <x v="0"/>
    <x v="0"/>
    <n v="12305"/>
    <n v="15"/>
    <n v="67"/>
    <n v="820.33333333333337"/>
  </r>
  <r>
    <d v="2023-07-27T00:00:00"/>
    <s v="STU20220192"/>
    <s v="GEN101"/>
    <s v="General Studies"/>
    <x v="1"/>
    <x v="14"/>
    <x v="0"/>
    <x v="1"/>
    <x v="0"/>
    <n v="19210"/>
    <n v="15"/>
    <n v="72"/>
    <n v="1280.6666666666667"/>
  </r>
  <r>
    <d v="2023-02-21T00:00:00"/>
    <s v="STU20220193"/>
    <s v="GEN101"/>
    <s v="General Studies"/>
    <x v="2"/>
    <x v="13"/>
    <x v="2"/>
    <x v="1"/>
    <x v="1"/>
    <n v="23280"/>
    <n v="10"/>
    <n v="84"/>
    <n v="2328"/>
  </r>
  <r>
    <d v="2022-07-24T00:00:00"/>
    <s v="STU20220194"/>
    <s v="GEN101"/>
    <s v="General Studies"/>
    <x v="2"/>
    <x v="6"/>
    <x v="0"/>
    <x v="0"/>
    <x v="2"/>
    <n v="9420"/>
    <n v="10"/>
    <n v="61"/>
    <n v="942"/>
  </r>
  <r>
    <d v="2022-02-19T00:00:00"/>
    <s v="STU20220195"/>
    <s v="GEN101"/>
    <s v="General Studies"/>
    <x v="0"/>
    <x v="11"/>
    <x v="2"/>
    <x v="0"/>
    <x v="1"/>
    <n v="22521"/>
    <n v="30"/>
    <n v="71"/>
    <n v="750.7"/>
  </r>
  <r>
    <d v="2024-08-01T00:00:00"/>
    <s v="STU20220196"/>
    <s v="CS201"/>
    <s v="Data Structures"/>
    <x v="0"/>
    <x v="19"/>
    <x v="0"/>
    <x v="2"/>
    <x v="0"/>
    <n v="13070"/>
    <n v="10"/>
    <n v="70"/>
    <n v="1307"/>
  </r>
  <r>
    <d v="2024-11-16T00:00:00"/>
    <s v="STU20220197"/>
    <s v="GEN101"/>
    <s v="General Studies"/>
    <x v="1"/>
    <x v="14"/>
    <x v="1"/>
    <x v="2"/>
    <x v="0"/>
    <n v="12226"/>
    <n v="15"/>
    <n v="69"/>
    <n v="815.06666666666672"/>
  </r>
  <r>
    <d v="2022-11-07T00:00:00"/>
    <s v="STU20220198"/>
    <s v="GEN101"/>
    <s v="General Studies"/>
    <x v="0"/>
    <x v="0"/>
    <x v="1"/>
    <x v="0"/>
    <x v="0"/>
    <n v="14621"/>
    <n v="15"/>
    <n v="81"/>
    <n v="974.73333333333335"/>
  </r>
  <r>
    <d v="2023-07-17T00:00:00"/>
    <s v="STU20220199"/>
    <s v="MKT201"/>
    <s v="Digital Marketing"/>
    <x v="1"/>
    <x v="7"/>
    <x v="0"/>
    <x v="1"/>
    <x v="0"/>
    <n v="13239"/>
    <n v="20"/>
    <n v="77"/>
    <n v="661.95"/>
  </r>
  <r>
    <d v="2022-08-26T00:00:00"/>
    <s v="STU20220200"/>
    <s v="GEN101"/>
    <s v="General Studies"/>
    <x v="1"/>
    <x v="14"/>
    <x v="0"/>
    <x v="0"/>
    <x v="1"/>
    <n v="23118"/>
    <n v="30"/>
    <n v="64"/>
    <n v="770.6"/>
  </r>
  <r>
    <d v="2023-09-03T00:00:00"/>
    <s v="STU20220201"/>
    <s v="GEN101"/>
    <s v="General Studies"/>
    <x v="3"/>
    <x v="15"/>
    <x v="1"/>
    <x v="1"/>
    <x v="2"/>
    <n v="10369"/>
    <n v="15"/>
    <n v="61"/>
    <n v="691.26666666666665"/>
  </r>
  <r>
    <d v="2023-06-05T00:00:00"/>
    <s v="STU20220202"/>
    <s v="GEN101"/>
    <s v="General Studies"/>
    <x v="1"/>
    <x v="1"/>
    <x v="0"/>
    <x v="1"/>
    <x v="0"/>
    <n v="18181"/>
    <n v="20"/>
    <n v="84"/>
    <n v="909.05"/>
  </r>
  <r>
    <d v="2022-06-13T00:00:00"/>
    <s v="STU20220203"/>
    <s v="GEN101"/>
    <s v="General Studies"/>
    <x v="1"/>
    <x v="1"/>
    <x v="0"/>
    <x v="0"/>
    <x v="2"/>
    <n v="10252"/>
    <n v="20"/>
    <n v="52"/>
    <n v="512.6"/>
  </r>
  <r>
    <d v="2024-03-13T00:00:00"/>
    <s v="STU20220204"/>
    <s v="GEN101"/>
    <s v="General Studies"/>
    <x v="3"/>
    <x v="3"/>
    <x v="2"/>
    <x v="2"/>
    <x v="0"/>
    <n v="17125"/>
    <n v="10"/>
    <n v="80"/>
    <n v="1712.5"/>
  </r>
  <r>
    <d v="2023-02-18T00:00:00"/>
    <s v="STU20220205"/>
    <s v="GEN101"/>
    <s v="General Studies"/>
    <x v="1"/>
    <x v="1"/>
    <x v="2"/>
    <x v="1"/>
    <x v="2"/>
    <n v="10270"/>
    <n v="10"/>
    <n v="55"/>
    <n v="1027"/>
  </r>
  <r>
    <d v="2023-09-20T00:00:00"/>
    <s v="STU20220206"/>
    <s v="BIO101"/>
    <s v="Cell Biology"/>
    <x v="2"/>
    <x v="2"/>
    <x v="1"/>
    <x v="1"/>
    <x v="0"/>
    <n v="17991"/>
    <n v="15"/>
    <n v="70"/>
    <n v="1199.4000000000001"/>
  </r>
  <r>
    <d v="2023-11-15T00:00:00"/>
    <s v="STU20220207"/>
    <s v="GEN101"/>
    <s v="General Studies"/>
    <x v="3"/>
    <x v="3"/>
    <x v="1"/>
    <x v="1"/>
    <x v="1"/>
    <n v="17198"/>
    <n v="15"/>
    <n v="88"/>
    <n v="1146.5333333333333"/>
  </r>
  <r>
    <d v="2022-10-28T00:00:00"/>
    <s v="STU20220208"/>
    <s v="GEN101"/>
    <s v="General Studies"/>
    <x v="3"/>
    <x v="12"/>
    <x v="1"/>
    <x v="0"/>
    <x v="0"/>
    <n v="19851"/>
    <n v="10"/>
    <n v="57"/>
    <n v="1985.1"/>
  </r>
  <r>
    <d v="2024-02-19T00:00:00"/>
    <s v="STU20220209"/>
    <s v="GEN101"/>
    <s v="General Studies"/>
    <x v="1"/>
    <x v="14"/>
    <x v="2"/>
    <x v="2"/>
    <x v="0"/>
    <n v="18295"/>
    <n v="15"/>
    <n v="75"/>
    <n v="1219.6666666666667"/>
  </r>
  <r>
    <d v="2022-08-10T00:00:00"/>
    <s v="STU20220210"/>
    <s v="BIO201"/>
    <s v="Genetics"/>
    <x v="2"/>
    <x v="2"/>
    <x v="0"/>
    <x v="0"/>
    <x v="0"/>
    <n v="15853"/>
    <n v="20"/>
    <n v="68"/>
    <n v="792.65"/>
  </r>
  <r>
    <d v="2024-06-18T00:00:00"/>
    <s v="STU20220211"/>
    <s v="ME201"/>
    <s v="Thermodynamics"/>
    <x v="0"/>
    <x v="16"/>
    <x v="0"/>
    <x v="2"/>
    <x v="0"/>
    <n v="12779"/>
    <n v="20"/>
    <n v="58"/>
    <n v="638.95000000000005"/>
  </r>
  <r>
    <d v="2024-08-20T00:00:00"/>
    <s v="STU20220212"/>
    <s v="GEN101"/>
    <s v="General Studies"/>
    <x v="1"/>
    <x v="1"/>
    <x v="0"/>
    <x v="2"/>
    <x v="0"/>
    <n v="13543"/>
    <n v="10"/>
    <n v="75"/>
    <n v="1354.3"/>
  </r>
  <r>
    <d v="2023-02-18T00:00:00"/>
    <s v="STU20220213"/>
    <s v="GEN101"/>
    <s v="General Studies"/>
    <x v="4"/>
    <x v="18"/>
    <x v="2"/>
    <x v="1"/>
    <x v="1"/>
    <n v="16039"/>
    <n v="20"/>
    <n v="67"/>
    <n v="801.95"/>
  </r>
  <r>
    <d v="2023-03-06T00:00:00"/>
    <s v="STU20220214"/>
    <s v="BIO301"/>
    <s v="Molecular Biology"/>
    <x v="2"/>
    <x v="2"/>
    <x v="2"/>
    <x v="1"/>
    <x v="2"/>
    <n v="10237"/>
    <n v="30"/>
    <n v="57"/>
    <n v="341.23333333333335"/>
  </r>
  <r>
    <d v="2023-08-05T00:00:00"/>
    <s v="STU20220215"/>
    <s v="ME201"/>
    <s v="Thermodynamics"/>
    <x v="0"/>
    <x v="16"/>
    <x v="0"/>
    <x v="1"/>
    <x v="0"/>
    <n v="15966"/>
    <n v="20"/>
    <n v="61"/>
    <n v="798.3"/>
  </r>
  <r>
    <d v="2023-09-22T00:00:00"/>
    <s v="STU20220216"/>
    <s v="BIO201"/>
    <s v="Genetics"/>
    <x v="2"/>
    <x v="2"/>
    <x v="1"/>
    <x v="1"/>
    <x v="2"/>
    <n v="9769"/>
    <n v="30"/>
    <n v="60"/>
    <n v="325.63333333333333"/>
  </r>
  <r>
    <d v="2022-10-01T00:00:00"/>
    <s v="STU20220217"/>
    <s v="GEN101"/>
    <s v="General Studies"/>
    <x v="0"/>
    <x v="0"/>
    <x v="1"/>
    <x v="0"/>
    <x v="2"/>
    <n v="10529"/>
    <n v="20"/>
    <n v="72"/>
    <n v="526.45000000000005"/>
  </r>
  <r>
    <d v="2023-09-09T00:00:00"/>
    <s v="STU20220218"/>
    <s v="MED301"/>
    <s v="Clinical Practice"/>
    <x v="3"/>
    <x v="8"/>
    <x v="1"/>
    <x v="1"/>
    <x v="2"/>
    <n v="10888"/>
    <n v="20"/>
    <n v="70"/>
    <n v="544.4"/>
  </r>
  <r>
    <d v="2022-06-06T00:00:00"/>
    <s v="STU20220219"/>
    <s v="GEN101"/>
    <s v="General Studies"/>
    <x v="3"/>
    <x v="12"/>
    <x v="0"/>
    <x v="0"/>
    <x v="0"/>
    <n v="13422"/>
    <n v="10"/>
    <n v="81"/>
    <n v="1342.2"/>
  </r>
  <r>
    <d v="2022-03-28T00:00:00"/>
    <s v="STU20220220"/>
    <s v="GEN101"/>
    <s v="General Studies"/>
    <x v="4"/>
    <x v="17"/>
    <x v="2"/>
    <x v="0"/>
    <x v="2"/>
    <n v="10236"/>
    <n v="30"/>
    <n v="76"/>
    <n v="341.2"/>
  </r>
  <r>
    <d v="2023-09-04T00:00:00"/>
    <s v="STU20220221"/>
    <s v="GEN101"/>
    <s v="General Studies"/>
    <x v="3"/>
    <x v="12"/>
    <x v="1"/>
    <x v="1"/>
    <x v="0"/>
    <n v="13878"/>
    <n v="30"/>
    <n v="75"/>
    <n v="462.6"/>
  </r>
  <r>
    <d v="2023-10-06T00:00:00"/>
    <s v="STU20220222"/>
    <s v="GEN101"/>
    <s v="General Studies"/>
    <x v="2"/>
    <x v="10"/>
    <x v="1"/>
    <x v="1"/>
    <x v="1"/>
    <n v="16800"/>
    <n v="15"/>
    <n v="76"/>
    <n v="1120"/>
  </r>
  <r>
    <d v="2024-08-24T00:00:00"/>
    <s v="STU20220223"/>
    <s v="GEN101"/>
    <s v="General Studies"/>
    <x v="3"/>
    <x v="3"/>
    <x v="0"/>
    <x v="2"/>
    <x v="0"/>
    <n v="16008"/>
    <n v="20"/>
    <n v="62"/>
    <n v="800.4"/>
  </r>
  <r>
    <d v="2023-02-14T00:00:00"/>
    <s v="STU20220224"/>
    <s v="GEN101"/>
    <s v="General Studies"/>
    <x v="1"/>
    <x v="14"/>
    <x v="2"/>
    <x v="1"/>
    <x v="2"/>
    <n v="10797"/>
    <n v="15"/>
    <n v="54"/>
    <n v="719.8"/>
  </r>
  <r>
    <d v="2023-03-09T00:00:00"/>
    <s v="STU20220225"/>
    <s v="GEN101"/>
    <s v="General Studies"/>
    <x v="2"/>
    <x v="13"/>
    <x v="2"/>
    <x v="1"/>
    <x v="2"/>
    <n v="10034"/>
    <n v="10"/>
    <n v="52"/>
    <n v="1003.4"/>
  </r>
  <r>
    <d v="2024-09-03T00:00:00"/>
    <s v="STU20220226"/>
    <s v="GEN101"/>
    <s v="General Studies"/>
    <x v="2"/>
    <x v="10"/>
    <x v="1"/>
    <x v="2"/>
    <x v="1"/>
    <n v="21354"/>
    <n v="30"/>
    <n v="83"/>
    <n v="711.8"/>
  </r>
  <r>
    <d v="2024-03-13T00:00:00"/>
    <s v="STU20220227"/>
    <s v="GEN101"/>
    <s v="General Studies"/>
    <x v="4"/>
    <x v="17"/>
    <x v="2"/>
    <x v="2"/>
    <x v="2"/>
    <n v="10104"/>
    <n v="10"/>
    <n v="67"/>
    <n v="1010.4"/>
  </r>
  <r>
    <d v="2023-11-19T00:00:00"/>
    <s v="STU20220228"/>
    <s v="MKT301"/>
    <s v="Brand Management"/>
    <x v="1"/>
    <x v="7"/>
    <x v="1"/>
    <x v="1"/>
    <x v="0"/>
    <n v="17826"/>
    <n v="30"/>
    <n v="74"/>
    <n v="594.20000000000005"/>
  </r>
  <r>
    <d v="2022-09-07T00:00:00"/>
    <s v="STU20220229"/>
    <s v="ENG201"/>
    <s v="Modern Poetry"/>
    <x v="4"/>
    <x v="5"/>
    <x v="1"/>
    <x v="0"/>
    <x v="2"/>
    <n v="10058"/>
    <n v="30"/>
    <n v="50"/>
    <n v="335.26666666666665"/>
  </r>
  <r>
    <d v="2023-07-05T00:00:00"/>
    <s v="STU20220230"/>
    <s v="GEN101"/>
    <s v="General Studies"/>
    <x v="4"/>
    <x v="18"/>
    <x v="0"/>
    <x v="1"/>
    <x v="0"/>
    <n v="13247"/>
    <n v="30"/>
    <n v="63"/>
    <n v="441.56666666666666"/>
  </r>
  <r>
    <d v="2024-01-17T00:00:00"/>
    <s v="STU20220231"/>
    <s v="BIO301"/>
    <s v="Molecular Biology"/>
    <x v="2"/>
    <x v="2"/>
    <x v="2"/>
    <x v="2"/>
    <x v="1"/>
    <n v="16510"/>
    <n v="10"/>
    <n v="69"/>
    <n v="1651"/>
  </r>
  <r>
    <d v="2024-10-21T00:00:00"/>
    <s v="STU20220232"/>
    <s v="GEN101"/>
    <s v="General Studies"/>
    <x v="3"/>
    <x v="12"/>
    <x v="1"/>
    <x v="2"/>
    <x v="2"/>
    <n v="10518"/>
    <n v="15"/>
    <n v="77"/>
    <n v="701.2"/>
  </r>
  <r>
    <d v="2023-01-13T00:00:00"/>
    <s v="STU20220233"/>
    <s v="GEN101"/>
    <s v="General Studies"/>
    <x v="1"/>
    <x v="14"/>
    <x v="2"/>
    <x v="1"/>
    <x v="2"/>
    <n v="9151"/>
    <n v="10"/>
    <n v="63"/>
    <n v="915.1"/>
  </r>
  <r>
    <d v="2023-08-24T00:00:00"/>
    <s v="STU20220234"/>
    <s v="GEN101"/>
    <s v="General Studies"/>
    <x v="2"/>
    <x v="6"/>
    <x v="0"/>
    <x v="1"/>
    <x v="1"/>
    <n v="24153"/>
    <n v="10"/>
    <n v="79"/>
    <n v="2415.3000000000002"/>
  </r>
  <r>
    <d v="2022-10-02T00:00:00"/>
    <s v="STU20220235"/>
    <s v="ME301"/>
    <s v="Fluid Mechanics"/>
    <x v="0"/>
    <x v="16"/>
    <x v="1"/>
    <x v="0"/>
    <x v="1"/>
    <n v="16286"/>
    <n v="20"/>
    <n v="78"/>
    <n v="814.3"/>
  </r>
  <r>
    <d v="2023-01-10T00:00:00"/>
    <s v="STU20220236"/>
    <s v="ME101"/>
    <s v="Engineering Mechanics"/>
    <x v="0"/>
    <x v="16"/>
    <x v="2"/>
    <x v="1"/>
    <x v="0"/>
    <n v="12927"/>
    <n v="20"/>
    <n v="73"/>
    <n v="646.35"/>
  </r>
  <r>
    <d v="2023-01-15T00:00:00"/>
    <s v="STU20220237"/>
    <s v="GEN101"/>
    <s v="General Studies"/>
    <x v="0"/>
    <x v="0"/>
    <x v="2"/>
    <x v="1"/>
    <x v="0"/>
    <n v="16292"/>
    <n v="20"/>
    <n v="66"/>
    <n v="814.6"/>
  </r>
  <r>
    <d v="2024-03-04T00:00:00"/>
    <s v="STU20220238"/>
    <s v="GEN101"/>
    <s v="General Studies"/>
    <x v="3"/>
    <x v="3"/>
    <x v="2"/>
    <x v="2"/>
    <x v="1"/>
    <n v="24339"/>
    <n v="20"/>
    <n v="64"/>
    <n v="1216.95"/>
  </r>
  <r>
    <d v="2023-03-28T00:00:00"/>
    <s v="STU20220239"/>
    <s v="GEN101"/>
    <s v="General Studies"/>
    <x v="4"/>
    <x v="18"/>
    <x v="2"/>
    <x v="1"/>
    <x v="2"/>
    <n v="9135"/>
    <n v="20"/>
    <n v="77"/>
    <n v="456.75"/>
  </r>
  <r>
    <d v="2022-02-04T00:00:00"/>
    <s v="STU20220240"/>
    <s v="GEN101"/>
    <s v="General Studies"/>
    <x v="1"/>
    <x v="14"/>
    <x v="2"/>
    <x v="0"/>
    <x v="2"/>
    <n v="9788"/>
    <n v="15"/>
    <n v="61"/>
    <n v="652.5333333333333"/>
  </r>
  <r>
    <d v="2024-02-21T00:00:00"/>
    <s v="STU20220241"/>
    <s v="GEN101"/>
    <s v="General Studies"/>
    <x v="0"/>
    <x v="0"/>
    <x v="2"/>
    <x v="2"/>
    <x v="2"/>
    <n v="10882"/>
    <n v="15"/>
    <n v="69"/>
    <n v="725.4666666666667"/>
  </r>
  <r>
    <d v="2022-10-24T00:00:00"/>
    <s v="STU20220242"/>
    <s v="GEN101"/>
    <s v="General Studies"/>
    <x v="2"/>
    <x v="10"/>
    <x v="1"/>
    <x v="0"/>
    <x v="1"/>
    <n v="17556"/>
    <n v="10"/>
    <n v="71"/>
    <n v="1755.6"/>
  </r>
  <r>
    <d v="2023-01-17T00:00:00"/>
    <s v="STU20220243"/>
    <s v="GEN101"/>
    <s v="General Studies"/>
    <x v="4"/>
    <x v="18"/>
    <x v="2"/>
    <x v="1"/>
    <x v="1"/>
    <n v="22371"/>
    <n v="30"/>
    <n v="87"/>
    <n v="745.7"/>
  </r>
  <r>
    <d v="2024-01-11T00:00:00"/>
    <s v="STU20220244"/>
    <s v="ENG101"/>
    <s v="British Literature"/>
    <x v="4"/>
    <x v="5"/>
    <x v="2"/>
    <x v="2"/>
    <x v="2"/>
    <n v="9923"/>
    <n v="20"/>
    <n v="76"/>
    <n v="496.15"/>
  </r>
  <r>
    <d v="2023-11-27T00:00:00"/>
    <s v="STU20220245"/>
    <s v="ENG101"/>
    <s v="British Literature"/>
    <x v="4"/>
    <x v="5"/>
    <x v="1"/>
    <x v="1"/>
    <x v="1"/>
    <n v="15744"/>
    <n v="30"/>
    <n v="73"/>
    <n v="524.79999999999995"/>
  </r>
  <r>
    <d v="2023-11-07T00:00:00"/>
    <s v="STU20220246"/>
    <s v="GEN101"/>
    <s v="General Studies"/>
    <x v="3"/>
    <x v="3"/>
    <x v="1"/>
    <x v="1"/>
    <x v="1"/>
    <n v="16093"/>
    <n v="15"/>
    <n v="76"/>
    <n v="1072.8666666666666"/>
  </r>
  <r>
    <d v="2024-06-01T00:00:00"/>
    <s v="STU20220247"/>
    <s v="GEN101"/>
    <s v="General Studies"/>
    <x v="1"/>
    <x v="14"/>
    <x v="0"/>
    <x v="2"/>
    <x v="1"/>
    <n v="20954"/>
    <n v="10"/>
    <n v="72"/>
    <n v="2095.4"/>
  </r>
  <r>
    <d v="2022-01-05T00:00:00"/>
    <s v="STU20220248"/>
    <s v="GEN101"/>
    <s v="General Studies"/>
    <x v="3"/>
    <x v="3"/>
    <x v="2"/>
    <x v="0"/>
    <x v="1"/>
    <n v="18686"/>
    <n v="10"/>
    <n v="84"/>
    <n v="1868.6"/>
  </r>
  <r>
    <d v="2024-10-03T00:00:00"/>
    <s v="STU20220249"/>
    <s v="GEN101"/>
    <s v="General Studies"/>
    <x v="4"/>
    <x v="18"/>
    <x v="1"/>
    <x v="2"/>
    <x v="2"/>
    <n v="9367"/>
    <n v="10"/>
    <n v="68"/>
    <n v="936.7"/>
  </r>
  <r>
    <d v="2023-07-01T00:00:00"/>
    <s v="STU20220250"/>
    <s v="GEN101"/>
    <s v="General Studies"/>
    <x v="2"/>
    <x v="6"/>
    <x v="0"/>
    <x v="1"/>
    <x v="0"/>
    <n v="12416"/>
    <n v="20"/>
    <n v="67"/>
    <n v="620.79999999999995"/>
  </r>
  <r>
    <d v="2024-02-15T00:00:00"/>
    <s v="STU20220251"/>
    <s v="ME201"/>
    <s v="Thermodynamics"/>
    <x v="0"/>
    <x v="16"/>
    <x v="2"/>
    <x v="2"/>
    <x v="1"/>
    <n v="22348"/>
    <n v="30"/>
    <n v="64"/>
    <n v="744.93333333333328"/>
  </r>
  <r>
    <d v="2024-06-18T00:00:00"/>
    <s v="STU20220252"/>
    <s v="GEN101"/>
    <s v="General Studies"/>
    <x v="4"/>
    <x v="17"/>
    <x v="0"/>
    <x v="2"/>
    <x v="1"/>
    <n v="19096"/>
    <n v="20"/>
    <n v="86"/>
    <n v="954.8"/>
  </r>
  <r>
    <d v="2023-03-27T00:00:00"/>
    <s v="STU20220253"/>
    <s v="ME101"/>
    <s v="Engineering Mechanics"/>
    <x v="0"/>
    <x v="16"/>
    <x v="2"/>
    <x v="1"/>
    <x v="1"/>
    <n v="17518"/>
    <n v="30"/>
    <n v="70"/>
    <n v="583.93333333333328"/>
  </r>
  <r>
    <d v="2023-06-25T00:00:00"/>
    <s v="STU20220254"/>
    <s v="GEN101"/>
    <s v="General Studies"/>
    <x v="2"/>
    <x v="13"/>
    <x v="0"/>
    <x v="1"/>
    <x v="0"/>
    <n v="17977"/>
    <n v="10"/>
    <n v="67"/>
    <n v="1797.7"/>
  </r>
  <r>
    <d v="2024-02-04T00:00:00"/>
    <s v="STU20220255"/>
    <s v="GEN101"/>
    <s v="General Studies"/>
    <x v="2"/>
    <x v="10"/>
    <x v="2"/>
    <x v="2"/>
    <x v="2"/>
    <n v="9585"/>
    <n v="20"/>
    <n v="58"/>
    <n v="479.25"/>
  </r>
  <r>
    <d v="2024-07-22T00:00:00"/>
    <s v="STU20220256"/>
    <s v="GEN101"/>
    <s v="General Studies"/>
    <x v="2"/>
    <x v="10"/>
    <x v="0"/>
    <x v="2"/>
    <x v="2"/>
    <n v="10939"/>
    <n v="30"/>
    <n v="78"/>
    <n v="364.63333333333333"/>
  </r>
  <r>
    <d v="2022-10-10T00:00:00"/>
    <s v="STU20220257"/>
    <s v="GEN101"/>
    <s v="General Studies"/>
    <x v="4"/>
    <x v="9"/>
    <x v="1"/>
    <x v="0"/>
    <x v="2"/>
    <n v="10381"/>
    <n v="20"/>
    <n v="72"/>
    <n v="519.04999999999995"/>
  </r>
  <r>
    <d v="2024-10-28T00:00:00"/>
    <s v="STU20220258"/>
    <s v="GEN101"/>
    <s v="General Studies"/>
    <x v="3"/>
    <x v="15"/>
    <x v="1"/>
    <x v="2"/>
    <x v="2"/>
    <n v="10570"/>
    <n v="10"/>
    <n v="53"/>
    <n v="1057"/>
  </r>
  <r>
    <d v="2022-01-26T00:00:00"/>
    <s v="STU20220259"/>
    <s v="GEN101"/>
    <s v="General Studies"/>
    <x v="3"/>
    <x v="3"/>
    <x v="2"/>
    <x v="0"/>
    <x v="0"/>
    <n v="18285"/>
    <n v="30"/>
    <n v="59"/>
    <n v="609.5"/>
  </r>
  <r>
    <d v="2023-01-24T00:00:00"/>
    <s v="STU20220260"/>
    <s v="MED301"/>
    <s v="Clinical Practice"/>
    <x v="3"/>
    <x v="8"/>
    <x v="2"/>
    <x v="1"/>
    <x v="1"/>
    <n v="23124"/>
    <n v="10"/>
    <n v="69"/>
    <n v="2312.4"/>
  </r>
  <r>
    <d v="2023-11-21T00:00:00"/>
    <s v="STU20220261"/>
    <s v="MKT201"/>
    <s v="Digital Marketing"/>
    <x v="1"/>
    <x v="7"/>
    <x v="1"/>
    <x v="1"/>
    <x v="0"/>
    <n v="14642"/>
    <n v="20"/>
    <n v="56"/>
    <n v="732.1"/>
  </r>
  <r>
    <d v="2023-03-18T00:00:00"/>
    <s v="STU20220262"/>
    <s v="GEN101"/>
    <s v="General Studies"/>
    <x v="2"/>
    <x v="13"/>
    <x v="2"/>
    <x v="1"/>
    <x v="2"/>
    <n v="9667"/>
    <n v="30"/>
    <n v="59"/>
    <n v="322.23333333333335"/>
  </r>
  <r>
    <d v="2023-08-10T00:00:00"/>
    <s v="STU20220263"/>
    <s v="GEN101"/>
    <s v="General Studies"/>
    <x v="0"/>
    <x v="0"/>
    <x v="0"/>
    <x v="1"/>
    <x v="0"/>
    <n v="13327"/>
    <n v="30"/>
    <n v="65"/>
    <n v="444.23333333333335"/>
  </r>
  <r>
    <d v="2022-06-25T00:00:00"/>
    <s v="STU20220264"/>
    <s v="GEN101"/>
    <s v="General Studies"/>
    <x v="4"/>
    <x v="17"/>
    <x v="0"/>
    <x v="0"/>
    <x v="1"/>
    <n v="24289"/>
    <n v="15"/>
    <n v="78"/>
    <n v="1619.2666666666667"/>
  </r>
  <r>
    <d v="2024-03-09T00:00:00"/>
    <s v="STU20220265"/>
    <s v="GEN101"/>
    <s v="General Studies"/>
    <x v="3"/>
    <x v="15"/>
    <x v="2"/>
    <x v="2"/>
    <x v="0"/>
    <n v="14340"/>
    <n v="30"/>
    <n v="79"/>
    <n v="478"/>
  </r>
  <r>
    <d v="2022-08-18T00:00:00"/>
    <s v="STU20220266"/>
    <s v="GEN101"/>
    <s v="General Studies"/>
    <x v="1"/>
    <x v="1"/>
    <x v="0"/>
    <x v="0"/>
    <x v="2"/>
    <n v="10502"/>
    <n v="20"/>
    <n v="65"/>
    <n v="525.1"/>
  </r>
  <r>
    <d v="2022-09-15T00:00:00"/>
    <s v="STU20220267"/>
    <s v="MKT301"/>
    <s v="Brand Management"/>
    <x v="1"/>
    <x v="7"/>
    <x v="1"/>
    <x v="0"/>
    <x v="1"/>
    <n v="23532"/>
    <n v="10"/>
    <n v="74"/>
    <n v="2353.1999999999998"/>
  </r>
  <r>
    <d v="2023-01-05T00:00:00"/>
    <s v="STU20220268"/>
    <s v="CS301"/>
    <s v="Machine Learning"/>
    <x v="0"/>
    <x v="19"/>
    <x v="2"/>
    <x v="1"/>
    <x v="1"/>
    <n v="15103"/>
    <n v="20"/>
    <n v="81"/>
    <n v="755.15"/>
  </r>
  <r>
    <d v="2023-01-12T00:00:00"/>
    <s v="STU20220269"/>
    <s v="ENG201"/>
    <s v="Modern Poetry"/>
    <x v="4"/>
    <x v="5"/>
    <x v="2"/>
    <x v="1"/>
    <x v="0"/>
    <n v="19591"/>
    <n v="15"/>
    <n v="58"/>
    <n v="1306.0666666666666"/>
  </r>
  <r>
    <d v="2024-01-12T00:00:00"/>
    <s v="STU20220270"/>
    <s v="GEN101"/>
    <s v="General Studies"/>
    <x v="3"/>
    <x v="12"/>
    <x v="2"/>
    <x v="2"/>
    <x v="0"/>
    <n v="14313"/>
    <n v="10"/>
    <n v="77"/>
    <n v="1431.3"/>
  </r>
  <r>
    <d v="2024-03-11T00:00:00"/>
    <s v="STU20220271"/>
    <s v="GEN101"/>
    <s v="General Studies"/>
    <x v="4"/>
    <x v="18"/>
    <x v="2"/>
    <x v="2"/>
    <x v="1"/>
    <n v="20330"/>
    <n v="30"/>
    <n v="75"/>
    <n v="677.66666666666663"/>
  </r>
  <r>
    <d v="2022-10-17T00:00:00"/>
    <s v="STU20220272"/>
    <s v="BIO301"/>
    <s v="Molecular Biology"/>
    <x v="2"/>
    <x v="2"/>
    <x v="1"/>
    <x v="0"/>
    <x v="2"/>
    <n v="9211"/>
    <n v="15"/>
    <n v="76"/>
    <n v="614.06666666666672"/>
  </r>
  <r>
    <d v="2024-02-01T00:00:00"/>
    <s v="STU20220273"/>
    <s v="GEN101"/>
    <s v="General Studies"/>
    <x v="2"/>
    <x v="13"/>
    <x v="2"/>
    <x v="2"/>
    <x v="1"/>
    <n v="15817"/>
    <n v="10"/>
    <n v="77"/>
    <n v="1581.7"/>
  </r>
  <r>
    <d v="2022-07-26T00:00:00"/>
    <s v="STU20220274"/>
    <s v="GEN101"/>
    <s v="General Studies"/>
    <x v="3"/>
    <x v="12"/>
    <x v="0"/>
    <x v="0"/>
    <x v="0"/>
    <n v="18504"/>
    <n v="30"/>
    <n v="69"/>
    <n v="616.79999999999995"/>
  </r>
  <r>
    <d v="2022-11-13T00:00:00"/>
    <s v="STU20220275"/>
    <s v="GEN101"/>
    <s v="General Studies"/>
    <x v="3"/>
    <x v="15"/>
    <x v="1"/>
    <x v="0"/>
    <x v="1"/>
    <n v="16788"/>
    <n v="10"/>
    <n v="77"/>
    <n v="1678.8"/>
  </r>
  <r>
    <d v="2024-11-19T00:00:00"/>
    <s v="STU20220276"/>
    <s v="GEN101"/>
    <s v="General Studies"/>
    <x v="1"/>
    <x v="14"/>
    <x v="1"/>
    <x v="2"/>
    <x v="2"/>
    <n v="9115"/>
    <n v="10"/>
    <n v="55"/>
    <n v="911.5"/>
  </r>
  <r>
    <d v="2023-06-16T00:00:00"/>
    <s v="STU20220277"/>
    <s v="GEN101"/>
    <s v="General Studies"/>
    <x v="2"/>
    <x v="6"/>
    <x v="0"/>
    <x v="1"/>
    <x v="2"/>
    <n v="10772"/>
    <n v="10"/>
    <n v="55"/>
    <n v="1077.2"/>
  </r>
  <r>
    <d v="2024-02-17T00:00:00"/>
    <s v="STU20220278"/>
    <s v="GEN101"/>
    <s v="General Studies"/>
    <x v="2"/>
    <x v="6"/>
    <x v="2"/>
    <x v="2"/>
    <x v="2"/>
    <n v="10644"/>
    <n v="20"/>
    <n v="53"/>
    <n v="532.20000000000005"/>
  </r>
  <r>
    <d v="2023-01-03T00:00:00"/>
    <s v="STU20220279"/>
    <s v="GEN101"/>
    <s v="General Studies"/>
    <x v="3"/>
    <x v="3"/>
    <x v="2"/>
    <x v="1"/>
    <x v="2"/>
    <n v="9591"/>
    <n v="20"/>
    <n v="56"/>
    <n v="479.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0D87D6-D322-4B41-9D24-CDB73DDF3933}"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3">
    <pivotField numFmtId="14" showAll="0"/>
    <pivotField showAll="0"/>
    <pivotField showAll="0"/>
    <pivotField showAll="0"/>
    <pivotField showAll="0"/>
    <pivotField axis="axisRow" showAll="0" sortType="descending">
      <items count="21">
        <item x="2"/>
        <item x="6"/>
        <item x="11"/>
        <item x="19"/>
        <item x="14"/>
        <item x="0"/>
        <item x="5"/>
        <item x="4"/>
        <item x="9"/>
        <item x="8"/>
        <item x="17"/>
        <item x="1"/>
        <item x="7"/>
        <item x="10"/>
        <item x="16"/>
        <item x="12"/>
        <item x="18"/>
        <item x="13"/>
        <item x="1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5"/>
  </rowFields>
  <rowItems count="21">
    <i>
      <x v="1"/>
    </i>
    <i>
      <x v="4"/>
    </i>
    <i>
      <x v="19"/>
    </i>
    <i>
      <x v="5"/>
    </i>
    <i>
      <x v="18"/>
    </i>
    <i>
      <x v="16"/>
    </i>
    <i>
      <x v="13"/>
    </i>
    <i>
      <x v="15"/>
    </i>
    <i>
      <x v="8"/>
    </i>
    <i>
      <x v="11"/>
    </i>
    <i>
      <x v="10"/>
    </i>
    <i>
      <x/>
    </i>
    <i>
      <x v="6"/>
    </i>
    <i>
      <x v="9"/>
    </i>
    <i>
      <x v="17"/>
    </i>
    <i>
      <x v="14"/>
    </i>
    <i>
      <x v="12"/>
    </i>
    <i>
      <x v="7"/>
    </i>
    <i>
      <x v="2"/>
    </i>
    <i>
      <x v="3"/>
    </i>
    <i t="grand">
      <x/>
    </i>
  </rowItems>
  <colItems count="1">
    <i/>
  </colItems>
  <dataFields count="1">
    <dataField name="Sum of Tuition Fee (拢)" fld="9"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7169C-8ABC-484F-A585-8EF41245516C}"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25" firstHeaderRow="0" firstDataRow="1" firstDataCol="1"/>
  <pivotFields count="13">
    <pivotField numFmtId="14" showAll="0"/>
    <pivotField showAll="0"/>
    <pivotField showAll="0"/>
    <pivotField showAll="0"/>
    <pivotField axis="axisRow" showAll="0">
      <items count="6">
        <item x="4"/>
        <item x="1"/>
        <item x="0"/>
        <item x="3"/>
        <item x="2"/>
        <item t="default"/>
      </items>
    </pivotField>
    <pivotField showAll="0"/>
    <pivotField showAll="0">
      <items count="4">
        <item x="1"/>
        <item h="1" x="2"/>
        <item h="1" x="0"/>
        <item t="default"/>
      </items>
    </pivotField>
    <pivotField showAll="0">
      <items count="4">
        <item h="1" x="0"/>
        <item h="1" x="1"/>
        <item x="2"/>
        <item t="default"/>
      </items>
    </pivotField>
    <pivotField axis="axisRow" showAll="0" countASubtotal="1">
      <items count="4">
        <item x="1"/>
        <item x="0"/>
        <item x="2"/>
        <item t="countA"/>
      </items>
    </pivotField>
    <pivotField showAll="0"/>
    <pivotField showAll="0"/>
    <pivotField dataField="1" showAll="0"/>
    <pivotField dataField="1" showAll="0"/>
  </pivotFields>
  <rowFields count="2">
    <field x="4"/>
    <field x="8"/>
  </rowFields>
  <rowItems count="22">
    <i>
      <x/>
    </i>
    <i r="1">
      <x/>
    </i>
    <i r="1">
      <x v="1"/>
    </i>
    <i r="1">
      <x v="2"/>
    </i>
    <i>
      <x v="1"/>
    </i>
    <i r="1">
      <x v="1"/>
    </i>
    <i r="1">
      <x v="2"/>
    </i>
    <i>
      <x v="2"/>
    </i>
    <i r="1">
      <x v="1"/>
    </i>
    <i r="1">
      <x v="2"/>
    </i>
    <i>
      <x v="3"/>
    </i>
    <i r="1">
      <x/>
    </i>
    <i r="1">
      <x v="1"/>
    </i>
    <i r="1">
      <x v="2"/>
    </i>
    <i>
      <x v="4"/>
    </i>
    <i r="1">
      <x/>
    </i>
    <i r="1">
      <x v="1"/>
    </i>
    <i r="1">
      <x v="2"/>
    </i>
    <i t="countA">
      <x v="1048832"/>
      <x/>
    </i>
    <i t="countA" r="1">
      <x v="1"/>
    </i>
    <i t="countA" r="1">
      <x v="2"/>
    </i>
    <i t="grand">
      <x/>
    </i>
  </rowItems>
  <colFields count="1">
    <field x="-2"/>
  </colFields>
  <colItems count="2">
    <i>
      <x/>
    </i>
    <i i="1">
      <x v="1"/>
    </i>
  </colItems>
  <dataFields count="2">
    <dataField name="Average of Final Grade (%)" fld="11" subtotal="average" baseField="4" baseItem="0"/>
    <dataField name="Average of Fee Per Credit" fld="12" subtotal="average" baseField="4"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A6DA55DD-A1DA-4156-BAA7-609E21ED90C3}" sourceName="Semester">
  <pivotTables>
    <pivotTable tabId="4" name="PivotTable3"/>
  </pivotTables>
  <data>
    <tabular pivotCacheId="1939658338">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Year" xr10:uid="{D45D8202-0D16-4B76-9413-28249AEB2834}" sourceName="Academic Year">
  <pivotTables>
    <pivotTable tabId="4" name="PivotTable3"/>
  </pivotTables>
  <data>
    <tabular pivotCacheId="1939658338">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ester" xr10:uid="{AAC098E1-FBD0-4F86-9EE7-2FBB3EF433C2}" cache="Slicer_Semester" caption="Semester" rowHeight="234950"/>
  <slicer name="Academic Year" xr10:uid="{11294236-5C01-4D48-8F57-E96305255BB9}" cache="Slicer_Academic_Year" caption="Academic 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F35182-E462-4821-936C-45F0BD902212}" name="Table1" displayName="Table1" ref="A1:M281" totalsRowShown="0" headerRowDxfId="14" dataDxfId="13">
  <autoFilter ref="A1:M281" xr:uid="{20F35182-E462-4821-936C-45F0BD902212}"/>
  <tableColumns count="13">
    <tableColumn id="1" xr3:uid="{F2CA1B76-4F98-48D5-8BB5-98C0C2FA0DB0}" name="Enrollment Date" dataDxfId="12"/>
    <tableColumn id="2" xr3:uid="{4C86469D-22B8-407E-B261-AF8E62BCCD60}" name="Student ID" dataDxfId="11"/>
    <tableColumn id="3" xr3:uid="{6352E700-FBAE-4750-AAE4-A85C13EC1122}" name="Course Code" dataDxfId="10"/>
    <tableColumn id="4" xr3:uid="{8F29C40A-33FE-4125-BB58-7F97689D931D}" name="Course Name" dataDxfId="9"/>
    <tableColumn id="5" xr3:uid="{2A214AE2-F782-4D19-AF61-8DEAE12EF892}" name="Faculty" dataDxfId="8"/>
    <tableColumn id="6" xr3:uid="{D76A5268-7287-4638-B662-260B0AD9F707}" name="Department" dataDxfId="7"/>
    <tableColumn id="7" xr3:uid="{06A1D2B4-6E69-4DF9-8CC2-148A2550A5CB}" name="Semester" dataDxfId="6"/>
    <tableColumn id="8" xr3:uid="{06F8CDED-ED8B-4964-B81B-A7F46F88810D}" name="Academic Year" dataDxfId="5"/>
    <tableColumn id="9" xr3:uid="{09C97295-AB4B-484E-ADD2-3EEF3C49B847}" name="Student Level" dataDxfId="4"/>
    <tableColumn id="10" xr3:uid="{1008A437-ADE6-49B1-82BF-E36EF9289F7C}" name="Tuition Fee (拢)" dataDxfId="3"/>
    <tableColumn id="11" xr3:uid="{F44894F2-479E-4410-8C3B-3CB3438CCDE4}" name="Credits" dataDxfId="2"/>
    <tableColumn id="12" xr3:uid="{B666A4D2-7A3D-4F6D-A39D-7258CC2D0884}" name="Final Grade (%)" dataDxfId="1"/>
    <tableColumn id="13" xr3:uid="{350AD972-DCA7-4EA5-AF13-774869D1D388}" name="Fee Per Credit" dataDxfId="0">
      <calculatedColumnFormula>Table1[[#This Row],[Tuition Fee (拢)]]/Table1[[#This Row],[Credits]]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E473-A25E-4B74-9BBF-0DD20C34DE47}">
  <dimension ref="A3:B24"/>
  <sheetViews>
    <sheetView workbookViewId="0">
      <selection activeCell="B4" sqref="B4:B24"/>
    </sheetView>
  </sheetViews>
  <sheetFormatPr defaultRowHeight="14.4"/>
  <cols>
    <col min="1" max="1" width="20.33203125" bestFit="1" customWidth="1"/>
    <col min="2" max="2" width="20.6640625" bestFit="1" customWidth="1"/>
  </cols>
  <sheetData>
    <row r="3" spans="1:2">
      <c r="A3" s="3" t="s">
        <v>370</v>
      </c>
      <c r="B3" t="s">
        <v>372</v>
      </c>
    </row>
    <row r="4" spans="1:2">
      <c r="A4" s="4" t="s">
        <v>47</v>
      </c>
      <c r="B4" s="5">
        <v>270113</v>
      </c>
    </row>
    <row r="5" spans="1:2">
      <c r="A5" s="4" t="s">
        <v>81</v>
      </c>
      <c r="B5" s="5">
        <v>255237</v>
      </c>
    </row>
    <row r="6" spans="1:2">
      <c r="A6" s="4" t="s">
        <v>35</v>
      </c>
      <c r="B6" s="5">
        <v>253851</v>
      </c>
    </row>
    <row r="7" spans="1:2">
      <c r="A7" s="4" t="s">
        <v>16</v>
      </c>
      <c r="B7" s="5">
        <v>243172</v>
      </c>
    </row>
    <row r="8" spans="1:2">
      <c r="A8" s="4" t="s">
        <v>83</v>
      </c>
      <c r="B8" s="5">
        <v>232062</v>
      </c>
    </row>
    <row r="9" spans="1:2">
      <c r="A9" s="4" t="s">
        <v>120</v>
      </c>
      <c r="B9" s="5">
        <v>230540</v>
      </c>
    </row>
    <row r="10" spans="1:2">
      <c r="A10" s="4" t="s">
        <v>62</v>
      </c>
      <c r="B10" s="5">
        <v>223894</v>
      </c>
    </row>
    <row r="11" spans="1:2">
      <c r="A11" s="4" t="s">
        <v>67</v>
      </c>
      <c r="B11" s="5">
        <v>221948</v>
      </c>
    </row>
    <row r="12" spans="1:2">
      <c r="A12" s="4" t="s">
        <v>60</v>
      </c>
      <c r="B12" s="5">
        <v>220044</v>
      </c>
    </row>
    <row r="13" spans="1:2">
      <c r="A13" s="4" t="s">
        <v>22</v>
      </c>
      <c r="B13" s="5">
        <v>213780</v>
      </c>
    </row>
    <row r="14" spans="1:2">
      <c r="A14" s="4" t="s">
        <v>108</v>
      </c>
      <c r="B14" s="5">
        <v>213688</v>
      </c>
    </row>
    <row r="15" spans="1:2">
      <c r="A15" s="4" t="s">
        <v>30</v>
      </c>
      <c r="B15" s="5">
        <v>205947</v>
      </c>
    </row>
    <row r="16" spans="1:2">
      <c r="A16" s="4" t="s">
        <v>45</v>
      </c>
      <c r="B16" s="5">
        <v>205500</v>
      </c>
    </row>
    <row r="17" spans="1:2">
      <c r="A17" s="4" t="s">
        <v>58</v>
      </c>
      <c r="B17" s="5">
        <v>192562</v>
      </c>
    </row>
    <row r="18" spans="1:2">
      <c r="A18" s="4" t="s">
        <v>76</v>
      </c>
      <c r="B18" s="5">
        <v>190106</v>
      </c>
    </row>
    <row r="19" spans="1:2">
      <c r="A19" s="4" t="s">
        <v>94</v>
      </c>
      <c r="B19" s="5">
        <v>185625</v>
      </c>
    </row>
    <row r="20" spans="1:2">
      <c r="A20" s="4" t="s">
        <v>53</v>
      </c>
      <c r="B20" s="5">
        <v>179085</v>
      </c>
    </row>
    <row r="21" spans="1:2">
      <c r="A21" s="4" t="s">
        <v>40</v>
      </c>
      <c r="B21" s="5">
        <v>166397</v>
      </c>
    </row>
    <row r="22" spans="1:2">
      <c r="A22" s="4" t="s">
        <v>65</v>
      </c>
      <c r="B22" s="5">
        <v>162910</v>
      </c>
    </row>
    <row r="23" spans="1:2">
      <c r="A23" s="4" t="s">
        <v>128</v>
      </c>
      <c r="B23" s="5">
        <v>154056</v>
      </c>
    </row>
    <row r="24" spans="1:2">
      <c r="A24" s="4" t="s">
        <v>371</v>
      </c>
      <c r="B24" s="5">
        <v>4220517</v>
      </c>
    </row>
  </sheetData>
  <conditionalFormatting pivot="1" sqref="B4:B24">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F371-3C6D-48FB-89CF-1131C85352AD}">
  <dimension ref="A3:C25"/>
  <sheetViews>
    <sheetView tabSelected="1" workbookViewId="0">
      <selection activeCell="B8" sqref="B8"/>
    </sheetView>
  </sheetViews>
  <sheetFormatPr defaultRowHeight="14.4"/>
  <cols>
    <col min="1" max="1" width="20.109375" bestFit="1" customWidth="1"/>
    <col min="2" max="2" width="23.44140625" bestFit="1" customWidth="1"/>
    <col min="3" max="3" width="22.44140625" bestFit="1" customWidth="1"/>
  </cols>
  <sheetData>
    <row r="3" spans="1:3">
      <c r="A3" s="3" t="s">
        <v>370</v>
      </c>
      <c r="B3" t="s">
        <v>373</v>
      </c>
      <c r="C3" t="s">
        <v>378</v>
      </c>
    </row>
    <row r="4" spans="1:3">
      <c r="A4" s="4" t="s">
        <v>44</v>
      </c>
      <c r="B4" s="5">
        <v>70.400000000000006</v>
      </c>
      <c r="C4" s="5">
        <v>781.01</v>
      </c>
    </row>
    <row r="5" spans="1:3">
      <c r="A5" s="6" t="s">
        <v>25</v>
      </c>
      <c r="B5" s="5">
        <v>82</v>
      </c>
      <c r="C5" s="5">
        <v>863.45</v>
      </c>
    </row>
    <row r="6" spans="1:3">
      <c r="A6" s="6" t="s">
        <v>19</v>
      </c>
      <c r="B6" s="5">
        <v>76</v>
      </c>
      <c r="C6" s="5">
        <v>881.86666666666656</v>
      </c>
    </row>
    <row r="7" spans="1:3">
      <c r="A7" s="6" t="s">
        <v>32</v>
      </c>
      <c r="B7" s="5">
        <v>59</v>
      </c>
      <c r="C7" s="5">
        <v>638.93333333333339</v>
      </c>
    </row>
    <row r="8" spans="1:3">
      <c r="A8" s="4" t="s">
        <v>21</v>
      </c>
      <c r="B8" s="5">
        <v>67.5</v>
      </c>
      <c r="C8" s="5">
        <v>845.14583333333337</v>
      </c>
    </row>
    <row r="9" spans="1:3">
      <c r="A9" s="6" t="s">
        <v>19</v>
      </c>
      <c r="B9" s="5">
        <v>71.666666666666671</v>
      </c>
      <c r="C9" s="5">
        <v>823.02777777777783</v>
      </c>
    </row>
    <row r="10" spans="1:3">
      <c r="A10" s="6" t="s">
        <v>32</v>
      </c>
      <c r="B10" s="5">
        <v>55</v>
      </c>
      <c r="C10" s="5">
        <v>911.5</v>
      </c>
    </row>
    <row r="11" spans="1:3">
      <c r="A11" s="4" t="s">
        <v>15</v>
      </c>
      <c r="B11" s="5">
        <v>68.25</v>
      </c>
      <c r="C11" s="5">
        <v>627.61249999999995</v>
      </c>
    </row>
    <row r="12" spans="1:3">
      <c r="A12" s="6" t="s">
        <v>19</v>
      </c>
      <c r="B12" s="5">
        <v>62</v>
      </c>
      <c r="C12" s="5">
        <v>588.36666666666667</v>
      </c>
    </row>
    <row r="13" spans="1:3">
      <c r="A13" s="6" t="s">
        <v>32</v>
      </c>
      <c r="B13" s="5">
        <v>70.333333333333329</v>
      </c>
      <c r="C13" s="5">
        <v>640.69444444444434</v>
      </c>
    </row>
    <row r="14" spans="1:3">
      <c r="A14" s="4" t="s">
        <v>34</v>
      </c>
      <c r="B14" s="5">
        <v>64.2</v>
      </c>
      <c r="C14" s="5">
        <v>1170.2666666666667</v>
      </c>
    </row>
    <row r="15" spans="1:3">
      <c r="A15" s="6" t="s">
        <v>25</v>
      </c>
      <c r="B15" s="5">
        <v>72</v>
      </c>
      <c r="C15" s="5">
        <v>1081.5333333333333</v>
      </c>
    </row>
    <row r="16" spans="1:3">
      <c r="A16" s="6" t="s">
        <v>19</v>
      </c>
      <c r="B16" s="5">
        <v>66</v>
      </c>
      <c r="C16" s="5">
        <v>1949.8</v>
      </c>
    </row>
    <row r="17" spans="1:3">
      <c r="A17" s="6" t="s">
        <v>32</v>
      </c>
      <c r="B17" s="5">
        <v>61</v>
      </c>
      <c r="C17" s="5">
        <v>940</v>
      </c>
    </row>
    <row r="18" spans="1:3">
      <c r="A18" s="4" t="s">
        <v>29</v>
      </c>
      <c r="B18" s="5">
        <v>73.400000000000006</v>
      </c>
      <c r="C18" s="5">
        <v>1086.6933333333334</v>
      </c>
    </row>
    <row r="19" spans="1:3">
      <c r="A19" s="6" t="s">
        <v>25</v>
      </c>
      <c r="B19" s="5">
        <v>74</v>
      </c>
      <c r="C19" s="5">
        <v>872.4</v>
      </c>
    </row>
    <row r="20" spans="1:3">
      <c r="A20" s="6" t="s">
        <v>19</v>
      </c>
      <c r="B20" s="5">
        <v>71</v>
      </c>
      <c r="C20" s="5">
        <v>1497.9</v>
      </c>
    </row>
    <row r="21" spans="1:3">
      <c r="A21" s="6" t="s">
        <v>32</v>
      </c>
      <c r="B21" s="5">
        <v>77</v>
      </c>
      <c r="C21" s="5">
        <v>692.86666666666667</v>
      </c>
    </row>
    <row r="22" spans="1:3">
      <c r="A22" s="6" t="s">
        <v>374</v>
      </c>
      <c r="B22" s="5">
        <v>4</v>
      </c>
      <c r="C22" s="5">
        <v>4</v>
      </c>
    </row>
    <row r="23" spans="1:3">
      <c r="A23" s="6" t="s">
        <v>375</v>
      </c>
      <c r="B23" s="5">
        <v>9</v>
      </c>
      <c r="C23" s="5">
        <v>9</v>
      </c>
    </row>
    <row r="24" spans="1:3">
      <c r="A24" s="6" t="s">
        <v>376</v>
      </c>
      <c r="B24" s="5">
        <v>10</v>
      </c>
      <c r="C24" s="5">
        <v>10</v>
      </c>
    </row>
    <row r="25" spans="1:3">
      <c r="A25" s="4" t="s">
        <v>371</v>
      </c>
      <c r="B25" s="5">
        <v>68.826086956521735</v>
      </c>
      <c r="C25" s="5">
        <v>916.56014492753616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10406-E026-470C-8D8A-00D75E96F9D3}">
  <dimension ref="A1:M281"/>
  <sheetViews>
    <sheetView topLeftCell="A261" workbookViewId="0">
      <selection activeCell="F286" sqref="F286"/>
    </sheetView>
  </sheetViews>
  <sheetFormatPr defaultRowHeight="14.4"/>
  <cols>
    <col min="1" max="1" width="16.44140625" customWidth="1"/>
    <col min="2" max="2" width="11.77734375" customWidth="1"/>
    <col min="3" max="3" width="13.44140625" customWidth="1"/>
    <col min="4" max="4" width="14.109375" customWidth="1"/>
    <col min="6" max="6" width="13" customWidth="1"/>
    <col min="7" max="7" width="10.6640625" customWidth="1"/>
    <col min="8" max="8" width="15.21875" customWidth="1"/>
    <col min="9" max="9" width="14.33203125" customWidth="1"/>
    <col min="10" max="10" width="15.88671875" customWidth="1"/>
    <col min="12" max="12" width="15.44140625" customWidth="1"/>
    <col min="13" max="13" width="16" customWidth="1"/>
  </cols>
  <sheetData>
    <row r="1" spans="1:13">
      <c r="A1" s="1" t="s">
        <v>0</v>
      </c>
      <c r="B1" s="1" t="s">
        <v>1</v>
      </c>
      <c r="C1" s="1" t="s">
        <v>2</v>
      </c>
      <c r="D1" s="1" t="s">
        <v>3</v>
      </c>
      <c r="E1" s="1" t="s">
        <v>4</v>
      </c>
      <c r="F1" s="1" t="s">
        <v>5</v>
      </c>
      <c r="G1" s="1" t="s">
        <v>6</v>
      </c>
      <c r="H1" s="1" t="s">
        <v>7</v>
      </c>
      <c r="I1" s="1" t="s">
        <v>8</v>
      </c>
      <c r="J1" s="1" t="s">
        <v>9</v>
      </c>
      <c r="K1" s="1" t="s">
        <v>10</v>
      </c>
      <c r="L1" s="1" t="s">
        <v>11</v>
      </c>
      <c r="M1" s="7" t="s">
        <v>377</v>
      </c>
    </row>
    <row r="2" spans="1:13">
      <c r="A2" s="2">
        <v>44736</v>
      </c>
      <c r="B2" s="1" t="s">
        <v>12</v>
      </c>
      <c r="C2" s="1" t="s">
        <v>13</v>
      </c>
      <c r="D2" s="1" t="s">
        <v>14</v>
      </c>
      <c r="E2" s="1" t="s">
        <v>15</v>
      </c>
      <c r="F2" s="1" t="s">
        <v>16</v>
      </c>
      <c r="G2" s="1" t="s">
        <v>17</v>
      </c>
      <c r="H2" s="1" t="s">
        <v>18</v>
      </c>
      <c r="I2" s="1" t="s">
        <v>19</v>
      </c>
      <c r="J2" s="1">
        <v>15979</v>
      </c>
      <c r="K2" s="1">
        <v>30</v>
      </c>
      <c r="L2" s="1">
        <v>80</v>
      </c>
      <c r="M2" s="7">
        <f>Table1[[#This Row],[Tuition Fee (拢)]]/Table1[[#This Row],[Credits]]</f>
        <v>532.63333333333333</v>
      </c>
    </row>
    <row r="3" spans="1:13">
      <c r="A3" s="2">
        <v>45236</v>
      </c>
      <c r="B3" s="1" t="s">
        <v>20</v>
      </c>
      <c r="C3" s="1" t="s">
        <v>13</v>
      </c>
      <c r="D3" s="1" t="s">
        <v>14</v>
      </c>
      <c r="E3" s="1" t="s">
        <v>21</v>
      </c>
      <c r="F3" s="1" t="s">
        <v>22</v>
      </c>
      <c r="G3" s="1" t="s">
        <v>23</v>
      </c>
      <c r="H3" s="1" t="s">
        <v>24</v>
      </c>
      <c r="I3" s="1" t="s">
        <v>25</v>
      </c>
      <c r="J3" s="1">
        <v>20847</v>
      </c>
      <c r="K3" s="1">
        <v>20</v>
      </c>
      <c r="L3" s="1">
        <v>72</v>
      </c>
      <c r="M3" s="7">
        <f>Table1[[#This Row],[Tuition Fee (拢)]]/Table1[[#This Row],[Credits]]</f>
        <v>1042.3499999999999</v>
      </c>
    </row>
    <row r="4" spans="1:13">
      <c r="A4" s="2">
        <v>45561</v>
      </c>
      <c r="B4" s="1" t="s">
        <v>26</v>
      </c>
      <c r="C4" s="1" t="s">
        <v>27</v>
      </c>
      <c r="D4" s="1" t="s">
        <v>28</v>
      </c>
      <c r="E4" s="1" t="s">
        <v>29</v>
      </c>
      <c r="F4" s="1" t="s">
        <v>30</v>
      </c>
      <c r="G4" s="1" t="s">
        <v>23</v>
      </c>
      <c r="H4" s="1" t="s">
        <v>31</v>
      </c>
      <c r="I4" s="1" t="s">
        <v>32</v>
      </c>
      <c r="J4" s="1">
        <v>10393</v>
      </c>
      <c r="K4" s="1">
        <v>15</v>
      </c>
      <c r="L4" s="1">
        <v>77</v>
      </c>
      <c r="M4" s="7">
        <f>Table1[[#This Row],[Tuition Fee (拢)]]/Table1[[#This Row],[Credits]]</f>
        <v>692.86666666666667</v>
      </c>
    </row>
    <row r="5" spans="1:13">
      <c r="A5" s="2">
        <v>44623</v>
      </c>
      <c r="B5" s="1" t="s">
        <v>33</v>
      </c>
      <c r="C5" s="1" t="s">
        <v>13</v>
      </c>
      <c r="D5" s="1" t="s">
        <v>14</v>
      </c>
      <c r="E5" s="1" t="s">
        <v>34</v>
      </c>
      <c r="F5" s="1" t="s">
        <v>35</v>
      </c>
      <c r="G5" s="1" t="s">
        <v>36</v>
      </c>
      <c r="H5" s="1" t="s">
        <v>18</v>
      </c>
      <c r="I5" s="1" t="s">
        <v>32</v>
      </c>
      <c r="J5" s="1">
        <v>9738</v>
      </c>
      <c r="K5" s="1">
        <v>15</v>
      </c>
      <c r="L5" s="1">
        <v>60</v>
      </c>
      <c r="M5" s="7">
        <f>Table1[[#This Row],[Tuition Fee (拢)]]/Table1[[#This Row],[Credits]]</f>
        <v>649.20000000000005</v>
      </c>
    </row>
    <row r="6" spans="1:13">
      <c r="A6" s="2">
        <v>45299</v>
      </c>
      <c r="B6" s="1" t="s">
        <v>37</v>
      </c>
      <c r="C6" s="1" t="s">
        <v>38</v>
      </c>
      <c r="D6" s="1" t="s">
        <v>39</v>
      </c>
      <c r="E6" s="1" t="s">
        <v>21</v>
      </c>
      <c r="F6" s="1" t="s">
        <v>40</v>
      </c>
      <c r="G6" s="1" t="s">
        <v>36</v>
      </c>
      <c r="H6" s="1" t="s">
        <v>31</v>
      </c>
      <c r="I6" s="1" t="s">
        <v>25</v>
      </c>
      <c r="J6" s="1">
        <v>19186</v>
      </c>
      <c r="K6" s="1">
        <v>20</v>
      </c>
      <c r="L6" s="1">
        <v>69</v>
      </c>
      <c r="M6" s="7">
        <f>Table1[[#This Row],[Tuition Fee (拢)]]/Table1[[#This Row],[Credits]]</f>
        <v>959.3</v>
      </c>
    </row>
    <row r="7" spans="1:13">
      <c r="A7" s="2">
        <v>45093</v>
      </c>
      <c r="B7" s="1" t="s">
        <v>41</v>
      </c>
      <c r="C7" s="1" t="s">
        <v>42</v>
      </c>
      <c r="D7" s="1" t="s">
        <v>43</v>
      </c>
      <c r="E7" s="1" t="s">
        <v>44</v>
      </c>
      <c r="F7" s="1" t="s">
        <v>45</v>
      </c>
      <c r="G7" s="1" t="s">
        <v>17</v>
      </c>
      <c r="H7" s="1" t="s">
        <v>24</v>
      </c>
      <c r="I7" s="1" t="s">
        <v>32</v>
      </c>
      <c r="J7" s="1">
        <v>9285</v>
      </c>
      <c r="K7" s="1">
        <v>15</v>
      </c>
      <c r="L7" s="1">
        <v>69</v>
      </c>
      <c r="M7" s="7">
        <f>Table1[[#This Row],[Tuition Fee (拢)]]/Table1[[#This Row],[Credits]]</f>
        <v>619</v>
      </c>
    </row>
    <row r="8" spans="1:13">
      <c r="A8" s="2">
        <v>44713</v>
      </c>
      <c r="B8" s="1" t="s">
        <v>46</v>
      </c>
      <c r="C8" s="1" t="s">
        <v>13</v>
      </c>
      <c r="D8" s="1" t="s">
        <v>14</v>
      </c>
      <c r="E8" s="1" t="s">
        <v>29</v>
      </c>
      <c r="F8" s="1" t="s">
        <v>47</v>
      </c>
      <c r="G8" s="1" t="s">
        <v>17</v>
      </c>
      <c r="H8" s="1" t="s">
        <v>18</v>
      </c>
      <c r="I8" s="1" t="s">
        <v>19</v>
      </c>
      <c r="J8" s="1">
        <v>17062</v>
      </c>
      <c r="K8" s="1">
        <v>15</v>
      </c>
      <c r="L8" s="1">
        <v>69</v>
      </c>
      <c r="M8" s="7">
        <f>Table1[[#This Row],[Tuition Fee (拢)]]/Table1[[#This Row],[Credits]]</f>
        <v>1137.4666666666667</v>
      </c>
    </row>
    <row r="9" spans="1:13">
      <c r="A9" s="2">
        <v>44787</v>
      </c>
      <c r="B9" s="1" t="s">
        <v>48</v>
      </c>
      <c r="C9" s="1" t="s">
        <v>13</v>
      </c>
      <c r="D9" s="1" t="s">
        <v>14</v>
      </c>
      <c r="E9" s="1" t="s">
        <v>29</v>
      </c>
      <c r="F9" s="1" t="s">
        <v>47</v>
      </c>
      <c r="G9" s="1" t="s">
        <v>17</v>
      </c>
      <c r="H9" s="1" t="s">
        <v>18</v>
      </c>
      <c r="I9" s="1" t="s">
        <v>32</v>
      </c>
      <c r="J9" s="1">
        <v>9345</v>
      </c>
      <c r="K9" s="1">
        <v>10</v>
      </c>
      <c r="L9" s="1">
        <v>76</v>
      </c>
      <c r="M9" s="7">
        <f>Table1[[#This Row],[Tuition Fee (拢)]]/Table1[[#This Row],[Credits]]</f>
        <v>934.5</v>
      </c>
    </row>
    <row r="10" spans="1:13">
      <c r="A10" s="2">
        <v>45532</v>
      </c>
      <c r="B10" s="1" t="s">
        <v>49</v>
      </c>
      <c r="C10" s="1" t="s">
        <v>13</v>
      </c>
      <c r="D10" s="1" t="s">
        <v>14</v>
      </c>
      <c r="E10" s="1" t="s">
        <v>15</v>
      </c>
      <c r="F10" s="1" t="s">
        <v>16</v>
      </c>
      <c r="G10" s="1" t="s">
        <v>17</v>
      </c>
      <c r="H10" s="1" t="s">
        <v>31</v>
      </c>
      <c r="I10" s="1" t="s">
        <v>32</v>
      </c>
      <c r="J10" s="1">
        <v>10174</v>
      </c>
      <c r="K10" s="1">
        <v>15</v>
      </c>
      <c r="L10" s="1">
        <v>77</v>
      </c>
      <c r="M10" s="7">
        <f>Table1[[#This Row],[Tuition Fee (拢)]]/Table1[[#This Row],[Credits]]</f>
        <v>678.26666666666665</v>
      </c>
    </row>
    <row r="11" spans="1:13">
      <c r="A11" s="2">
        <v>45085</v>
      </c>
      <c r="B11" s="1" t="s">
        <v>50</v>
      </c>
      <c r="C11" s="1" t="s">
        <v>51</v>
      </c>
      <c r="D11" s="1" t="s">
        <v>52</v>
      </c>
      <c r="E11" s="1" t="s">
        <v>21</v>
      </c>
      <c r="F11" s="1" t="s">
        <v>53</v>
      </c>
      <c r="G11" s="1" t="s">
        <v>17</v>
      </c>
      <c r="H11" s="1" t="s">
        <v>24</v>
      </c>
      <c r="I11" s="1" t="s">
        <v>25</v>
      </c>
      <c r="J11" s="1">
        <v>16676</v>
      </c>
      <c r="K11" s="1">
        <v>30</v>
      </c>
      <c r="L11" s="1">
        <v>87</v>
      </c>
      <c r="M11" s="7">
        <f>Table1[[#This Row],[Tuition Fee (拢)]]/Table1[[#This Row],[Credits]]</f>
        <v>555.86666666666667</v>
      </c>
    </row>
    <row r="12" spans="1:13">
      <c r="A12" s="2">
        <v>44892</v>
      </c>
      <c r="B12" s="1" t="s">
        <v>54</v>
      </c>
      <c r="C12" s="1" t="s">
        <v>38</v>
      </c>
      <c r="D12" s="1" t="s">
        <v>39</v>
      </c>
      <c r="E12" s="1" t="s">
        <v>21</v>
      </c>
      <c r="F12" s="1" t="s">
        <v>40</v>
      </c>
      <c r="G12" s="1" t="s">
        <v>23</v>
      </c>
      <c r="H12" s="1" t="s">
        <v>18</v>
      </c>
      <c r="I12" s="1" t="s">
        <v>25</v>
      </c>
      <c r="J12" s="1">
        <v>21528</v>
      </c>
      <c r="K12" s="1">
        <v>10</v>
      </c>
      <c r="L12" s="1">
        <v>68</v>
      </c>
      <c r="M12" s="7">
        <f>Table1[[#This Row],[Tuition Fee (拢)]]/Table1[[#This Row],[Credits]]</f>
        <v>2152.8000000000002</v>
      </c>
    </row>
    <row r="13" spans="1:13">
      <c r="A13" s="2">
        <v>44744</v>
      </c>
      <c r="B13" s="1" t="s">
        <v>55</v>
      </c>
      <c r="C13" s="1" t="s">
        <v>56</v>
      </c>
      <c r="D13" s="1" t="s">
        <v>57</v>
      </c>
      <c r="E13" s="1" t="s">
        <v>34</v>
      </c>
      <c r="F13" s="1" t="s">
        <v>58</v>
      </c>
      <c r="G13" s="1" t="s">
        <v>17</v>
      </c>
      <c r="H13" s="1" t="s">
        <v>18</v>
      </c>
      <c r="I13" s="1" t="s">
        <v>19</v>
      </c>
      <c r="J13" s="1">
        <v>15911</v>
      </c>
      <c r="K13" s="1">
        <v>15</v>
      </c>
      <c r="L13" s="1">
        <v>81</v>
      </c>
      <c r="M13" s="7">
        <f>Table1[[#This Row],[Tuition Fee (拢)]]/Table1[[#This Row],[Credits]]</f>
        <v>1060.7333333333333</v>
      </c>
    </row>
    <row r="14" spans="1:13">
      <c r="A14" s="2">
        <v>45576</v>
      </c>
      <c r="B14" s="1" t="s">
        <v>59</v>
      </c>
      <c r="C14" s="1" t="s">
        <v>13</v>
      </c>
      <c r="D14" s="1" t="s">
        <v>14</v>
      </c>
      <c r="E14" s="1" t="s">
        <v>44</v>
      </c>
      <c r="F14" s="1" t="s">
        <v>60</v>
      </c>
      <c r="G14" s="1" t="s">
        <v>23</v>
      </c>
      <c r="H14" s="1" t="s">
        <v>31</v>
      </c>
      <c r="I14" s="1" t="s">
        <v>25</v>
      </c>
      <c r="J14" s="1">
        <v>17269</v>
      </c>
      <c r="K14" s="1">
        <v>20</v>
      </c>
      <c r="L14" s="1">
        <v>82</v>
      </c>
      <c r="M14" s="7">
        <f>Table1[[#This Row],[Tuition Fee (拢)]]/Table1[[#This Row],[Credits]]</f>
        <v>863.45</v>
      </c>
    </row>
    <row r="15" spans="1:13">
      <c r="A15" s="2">
        <v>45250</v>
      </c>
      <c r="B15" s="1" t="s">
        <v>61</v>
      </c>
      <c r="C15" s="1" t="s">
        <v>13</v>
      </c>
      <c r="D15" s="1" t="s">
        <v>14</v>
      </c>
      <c r="E15" s="1" t="s">
        <v>29</v>
      </c>
      <c r="F15" s="1" t="s">
        <v>62</v>
      </c>
      <c r="G15" s="1" t="s">
        <v>23</v>
      </c>
      <c r="H15" s="1" t="s">
        <v>24</v>
      </c>
      <c r="I15" s="1" t="s">
        <v>19</v>
      </c>
      <c r="J15" s="1">
        <v>17311</v>
      </c>
      <c r="K15" s="1">
        <v>10</v>
      </c>
      <c r="L15" s="1">
        <v>74</v>
      </c>
      <c r="M15" s="7">
        <f>Table1[[#This Row],[Tuition Fee (拢)]]/Table1[[#This Row],[Credits]]</f>
        <v>1731.1</v>
      </c>
    </row>
    <row r="16" spans="1:13">
      <c r="A16" s="2">
        <v>45354</v>
      </c>
      <c r="B16" s="1" t="s">
        <v>63</v>
      </c>
      <c r="C16" s="1" t="s">
        <v>13</v>
      </c>
      <c r="D16" s="1" t="s">
        <v>14</v>
      </c>
      <c r="E16" s="1" t="s">
        <v>44</v>
      </c>
      <c r="F16" s="1" t="s">
        <v>60</v>
      </c>
      <c r="G16" s="1" t="s">
        <v>36</v>
      </c>
      <c r="H16" s="1" t="s">
        <v>31</v>
      </c>
      <c r="I16" s="1" t="s">
        <v>32</v>
      </c>
      <c r="J16" s="1">
        <v>9051</v>
      </c>
      <c r="K16" s="1">
        <v>20</v>
      </c>
      <c r="L16" s="1">
        <v>69</v>
      </c>
      <c r="M16" s="7">
        <f>Table1[[#This Row],[Tuition Fee (拢)]]/Table1[[#This Row],[Credits]]</f>
        <v>452.55</v>
      </c>
    </row>
    <row r="17" spans="1:13">
      <c r="A17" s="2">
        <v>45191</v>
      </c>
      <c r="B17" s="1" t="s">
        <v>64</v>
      </c>
      <c r="C17" s="1" t="s">
        <v>13</v>
      </c>
      <c r="D17" s="1" t="s">
        <v>14</v>
      </c>
      <c r="E17" s="1" t="s">
        <v>15</v>
      </c>
      <c r="F17" s="1" t="s">
        <v>65</v>
      </c>
      <c r="G17" s="1" t="s">
        <v>23</v>
      </c>
      <c r="H17" s="1" t="s">
        <v>24</v>
      </c>
      <c r="I17" s="1" t="s">
        <v>32</v>
      </c>
      <c r="J17" s="1">
        <v>10039</v>
      </c>
      <c r="K17" s="1">
        <v>15</v>
      </c>
      <c r="L17" s="1">
        <v>55</v>
      </c>
      <c r="M17" s="7">
        <f>Table1[[#This Row],[Tuition Fee (拢)]]/Table1[[#This Row],[Credits]]</f>
        <v>669.26666666666665</v>
      </c>
    </row>
    <row r="18" spans="1:13">
      <c r="A18" s="2">
        <v>44932</v>
      </c>
      <c r="B18" s="1" t="s">
        <v>66</v>
      </c>
      <c r="C18" s="1" t="s">
        <v>13</v>
      </c>
      <c r="D18" s="1" t="s">
        <v>14</v>
      </c>
      <c r="E18" s="1" t="s">
        <v>34</v>
      </c>
      <c r="F18" s="1" t="s">
        <v>67</v>
      </c>
      <c r="G18" s="1" t="s">
        <v>36</v>
      </c>
      <c r="H18" s="1" t="s">
        <v>24</v>
      </c>
      <c r="I18" s="1" t="s">
        <v>19</v>
      </c>
      <c r="J18" s="1">
        <v>15586</v>
      </c>
      <c r="K18" s="1">
        <v>10</v>
      </c>
      <c r="L18" s="1">
        <v>68</v>
      </c>
      <c r="M18" s="7">
        <f>Table1[[#This Row],[Tuition Fee (拢)]]/Table1[[#This Row],[Credits]]</f>
        <v>1558.6</v>
      </c>
    </row>
    <row r="19" spans="1:13">
      <c r="A19" s="2">
        <v>45252</v>
      </c>
      <c r="B19" s="1" t="s">
        <v>68</v>
      </c>
      <c r="C19" s="1" t="s">
        <v>69</v>
      </c>
      <c r="D19" s="1" t="s">
        <v>70</v>
      </c>
      <c r="E19" s="1" t="s">
        <v>29</v>
      </c>
      <c r="F19" s="1" t="s">
        <v>30</v>
      </c>
      <c r="G19" s="1" t="s">
        <v>23</v>
      </c>
      <c r="H19" s="1" t="s">
        <v>24</v>
      </c>
      <c r="I19" s="1" t="s">
        <v>19</v>
      </c>
      <c r="J19" s="1">
        <v>17703</v>
      </c>
      <c r="K19" s="1">
        <v>20</v>
      </c>
      <c r="L19" s="1">
        <v>61</v>
      </c>
      <c r="M19" s="7">
        <f>Table1[[#This Row],[Tuition Fee (拢)]]/Table1[[#This Row],[Credits]]</f>
        <v>885.15</v>
      </c>
    </row>
    <row r="20" spans="1:13">
      <c r="A20" s="2">
        <v>45337</v>
      </c>
      <c r="B20" s="1" t="s">
        <v>71</v>
      </c>
      <c r="C20" s="1" t="s">
        <v>72</v>
      </c>
      <c r="D20" s="1" t="s">
        <v>73</v>
      </c>
      <c r="E20" s="1" t="s">
        <v>29</v>
      </c>
      <c r="F20" s="1" t="s">
        <v>30</v>
      </c>
      <c r="G20" s="1" t="s">
        <v>36</v>
      </c>
      <c r="H20" s="1" t="s">
        <v>31</v>
      </c>
      <c r="I20" s="1" t="s">
        <v>25</v>
      </c>
      <c r="J20" s="1">
        <v>21032</v>
      </c>
      <c r="K20" s="1">
        <v>15</v>
      </c>
      <c r="L20" s="1">
        <v>61</v>
      </c>
      <c r="M20" s="7">
        <f>Table1[[#This Row],[Tuition Fee (拢)]]/Table1[[#This Row],[Credits]]</f>
        <v>1402.1333333333334</v>
      </c>
    </row>
    <row r="21" spans="1:13">
      <c r="A21" s="2">
        <v>44727</v>
      </c>
      <c r="B21" s="1" t="s">
        <v>74</v>
      </c>
      <c r="C21" s="1" t="s">
        <v>13</v>
      </c>
      <c r="D21" s="1" t="s">
        <v>14</v>
      </c>
      <c r="E21" s="1" t="s">
        <v>44</v>
      </c>
      <c r="F21" s="1" t="s">
        <v>60</v>
      </c>
      <c r="G21" s="1" t="s">
        <v>17</v>
      </c>
      <c r="H21" s="1" t="s">
        <v>18</v>
      </c>
      <c r="I21" s="1" t="s">
        <v>25</v>
      </c>
      <c r="J21" s="1">
        <v>17281</v>
      </c>
      <c r="K21" s="1">
        <v>15</v>
      </c>
      <c r="L21" s="1">
        <v>64</v>
      </c>
      <c r="M21" s="7">
        <f>Table1[[#This Row],[Tuition Fee (拢)]]/Table1[[#This Row],[Credits]]</f>
        <v>1152.0666666666666</v>
      </c>
    </row>
    <row r="22" spans="1:13">
      <c r="A22" s="2">
        <v>44782</v>
      </c>
      <c r="B22" s="1" t="s">
        <v>75</v>
      </c>
      <c r="C22" s="1" t="s">
        <v>13</v>
      </c>
      <c r="D22" s="1" t="s">
        <v>14</v>
      </c>
      <c r="E22" s="1" t="s">
        <v>29</v>
      </c>
      <c r="F22" s="1" t="s">
        <v>76</v>
      </c>
      <c r="G22" s="1" t="s">
        <v>17</v>
      </c>
      <c r="H22" s="1" t="s">
        <v>18</v>
      </c>
      <c r="I22" s="1" t="s">
        <v>19</v>
      </c>
      <c r="J22" s="1">
        <v>15801</v>
      </c>
      <c r="K22" s="1">
        <v>30</v>
      </c>
      <c r="L22" s="1">
        <v>85</v>
      </c>
      <c r="M22" s="7">
        <f>Table1[[#This Row],[Tuition Fee (拢)]]/Table1[[#This Row],[Credits]]</f>
        <v>526.70000000000005</v>
      </c>
    </row>
    <row r="23" spans="1:13">
      <c r="A23" s="2">
        <v>45379</v>
      </c>
      <c r="B23" s="1" t="s">
        <v>77</v>
      </c>
      <c r="C23" s="1" t="s">
        <v>78</v>
      </c>
      <c r="D23" s="1" t="s">
        <v>79</v>
      </c>
      <c r="E23" s="1" t="s">
        <v>34</v>
      </c>
      <c r="F23" s="1" t="s">
        <v>58</v>
      </c>
      <c r="G23" s="1" t="s">
        <v>36</v>
      </c>
      <c r="H23" s="1" t="s">
        <v>31</v>
      </c>
      <c r="I23" s="1" t="s">
        <v>32</v>
      </c>
      <c r="J23" s="1">
        <v>9363</v>
      </c>
      <c r="K23" s="1">
        <v>15</v>
      </c>
      <c r="L23" s="1">
        <v>57</v>
      </c>
      <c r="M23" s="7">
        <f>Table1[[#This Row],[Tuition Fee (拢)]]/Table1[[#This Row],[Credits]]</f>
        <v>624.20000000000005</v>
      </c>
    </row>
    <row r="24" spans="1:13">
      <c r="A24" s="2">
        <v>45100</v>
      </c>
      <c r="B24" s="1" t="s">
        <v>80</v>
      </c>
      <c r="C24" s="1" t="s">
        <v>13</v>
      </c>
      <c r="D24" s="1" t="s">
        <v>14</v>
      </c>
      <c r="E24" s="1" t="s">
        <v>21</v>
      </c>
      <c r="F24" s="1" t="s">
        <v>81</v>
      </c>
      <c r="G24" s="1" t="s">
        <v>17</v>
      </c>
      <c r="H24" s="1" t="s">
        <v>24</v>
      </c>
      <c r="I24" s="1" t="s">
        <v>32</v>
      </c>
      <c r="J24" s="1">
        <v>9364</v>
      </c>
      <c r="K24" s="1">
        <v>15</v>
      </c>
      <c r="L24" s="1">
        <v>65</v>
      </c>
      <c r="M24" s="7">
        <f>Table1[[#This Row],[Tuition Fee (拢)]]/Table1[[#This Row],[Credits]]</f>
        <v>624.26666666666665</v>
      </c>
    </row>
    <row r="25" spans="1:13">
      <c r="A25" s="2">
        <v>45555</v>
      </c>
      <c r="B25" s="1" t="s">
        <v>82</v>
      </c>
      <c r="C25" s="1" t="s">
        <v>13</v>
      </c>
      <c r="D25" s="1" t="s">
        <v>14</v>
      </c>
      <c r="E25" s="1" t="s">
        <v>34</v>
      </c>
      <c r="F25" s="1" t="s">
        <v>83</v>
      </c>
      <c r="G25" s="1" t="s">
        <v>23</v>
      </c>
      <c r="H25" s="1" t="s">
        <v>31</v>
      </c>
      <c r="I25" s="1" t="s">
        <v>19</v>
      </c>
      <c r="J25" s="1">
        <v>19498</v>
      </c>
      <c r="K25" s="1">
        <v>10</v>
      </c>
      <c r="L25" s="1">
        <v>66</v>
      </c>
      <c r="M25" s="7">
        <f>Table1[[#This Row],[Tuition Fee (拢)]]/Table1[[#This Row],[Credits]]</f>
        <v>1949.8</v>
      </c>
    </row>
    <row r="26" spans="1:13">
      <c r="A26" s="2">
        <v>44831</v>
      </c>
      <c r="B26" s="1" t="s">
        <v>84</v>
      </c>
      <c r="C26" s="1" t="s">
        <v>85</v>
      </c>
      <c r="D26" s="1" t="s">
        <v>86</v>
      </c>
      <c r="E26" s="1" t="s">
        <v>44</v>
      </c>
      <c r="F26" s="1" t="s">
        <v>45</v>
      </c>
      <c r="G26" s="1" t="s">
        <v>23</v>
      </c>
      <c r="H26" s="1" t="s">
        <v>18</v>
      </c>
      <c r="I26" s="1" t="s">
        <v>19</v>
      </c>
      <c r="J26" s="1">
        <v>12998</v>
      </c>
      <c r="K26" s="1">
        <v>30</v>
      </c>
      <c r="L26" s="1">
        <v>62</v>
      </c>
      <c r="M26" s="7">
        <f>Table1[[#This Row],[Tuition Fee (拢)]]/Table1[[#This Row],[Credits]]</f>
        <v>433.26666666666665</v>
      </c>
    </row>
    <row r="27" spans="1:13">
      <c r="A27" s="2">
        <v>45204</v>
      </c>
      <c r="B27" s="1" t="s">
        <v>87</v>
      </c>
      <c r="C27" s="1" t="s">
        <v>13</v>
      </c>
      <c r="D27" s="1" t="s">
        <v>14</v>
      </c>
      <c r="E27" s="1" t="s">
        <v>34</v>
      </c>
      <c r="F27" s="1" t="s">
        <v>83</v>
      </c>
      <c r="G27" s="1" t="s">
        <v>23</v>
      </c>
      <c r="H27" s="1" t="s">
        <v>24</v>
      </c>
      <c r="I27" s="1" t="s">
        <v>32</v>
      </c>
      <c r="J27" s="1">
        <v>10159</v>
      </c>
      <c r="K27" s="1">
        <v>15</v>
      </c>
      <c r="L27" s="1">
        <v>55</v>
      </c>
      <c r="M27" s="7">
        <f>Table1[[#This Row],[Tuition Fee (拢)]]/Table1[[#This Row],[Credits]]</f>
        <v>677.26666666666665</v>
      </c>
    </row>
    <row r="28" spans="1:13">
      <c r="A28" s="2">
        <v>44889</v>
      </c>
      <c r="B28" s="1" t="s">
        <v>88</v>
      </c>
      <c r="C28" s="1" t="s">
        <v>27</v>
      </c>
      <c r="D28" s="1" t="s">
        <v>28</v>
      </c>
      <c r="E28" s="1" t="s">
        <v>29</v>
      </c>
      <c r="F28" s="1" t="s">
        <v>30</v>
      </c>
      <c r="G28" s="1" t="s">
        <v>23</v>
      </c>
      <c r="H28" s="1" t="s">
        <v>18</v>
      </c>
      <c r="I28" s="1" t="s">
        <v>19</v>
      </c>
      <c r="J28" s="1">
        <v>14495</v>
      </c>
      <c r="K28" s="1">
        <v>20</v>
      </c>
      <c r="L28" s="1">
        <v>61</v>
      </c>
      <c r="M28" s="7">
        <f>Table1[[#This Row],[Tuition Fee (拢)]]/Table1[[#This Row],[Credits]]</f>
        <v>724.75</v>
      </c>
    </row>
    <row r="29" spans="1:13">
      <c r="A29" s="2">
        <v>44584</v>
      </c>
      <c r="B29" s="1" t="s">
        <v>89</v>
      </c>
      <c r="C29" s="1" t="s">
        <v>13</v>
      </c>
      <c r="D29" s="1" t="s">
        <v>14</v>
      </c>
      <c r="E29" s="1" t="s">
        <v>34</v>
      </c>
      <c r="F29" s="1" t="s">
        <v>67</v>
      </c>
      <c r="G29" s="1" t="s">
        <v>36</v>
      </c>
      <c r="H29" s="1" t="s">
        <v>18</v>
      </c>
      <c r="I29" s="1" t="s">
        <v>19</v>
      </c>
      <c r="J29" s="1">
        <v>18599</v>
      </c>
      <c r="K29" s="1">
        <v>30</v>
      </c>
      <c r="L29" s="1">
        <v>67</v>
      </c>
      <c r="M29" s="7">
        <f>Table1[[#This Row],[Tuition Fee (拢)]]/Table1[[#This Row],[Credits]]</f>
        <v>619.9666666666667</v>
      </c>
    </row>
    <row r="30" spans="1:13">
      <c r="A30" s="2">
        <v>45493</v>
      </c>
      <c r="B30" s="1" t="s">
        <v>90</v>
      </c>
      <c r="C30" s="1" t="s">
        <v>13</v>
      </c>
      <c r="D30" s="1" t="s">
        <v>14</v>
      </c>
      <c r="E30" s="1" t="s">
        <v>34</v>
      </c>
      <c r="F30" s="1" t="s">
        <v>67</v>
      </c>
      <c r="G30" s="1" t="s">
        <v>17</v>
      </c>
      <c r="H30" s="1" t="s">
        <v>31</v>
      </c>
      <c r="I30" s="1" t="s">
        <v>25</v>
      </c>
      <c r="J30" s="1">
        <v>23686</v>
      </c>
      <c r="K30" s="1">
        <v>20</v>
      </c>
      <c r="L30" s="1">
        <v>72</v>
      </c>
      <c r="M30" s="7">
        <f>Table1[[#This Row],[Tuition Fee (拢)]]/Table1[[#This Row],[Credits]]</f>
        <v>1184.3</v>
      </c>
    </row>
    <row r="31" spans="1:13">
      <c r="A31" s="2">
        <v>44589</v>
      </c>
      <c r="B31" s="1" t="s">
        <v>91</v>
      </c>
      <c r="C31" s="1" t="s">
        <v>92</v>
      </c>
      <c r="D31" s="1" t="s">
        <v>93</v>
      </c>
      <c r="E31" s="1" t="s">
        <v>15</v>
      </c>
      <c r="F31" s="1" t="s">
        <v>94</v>
      </c>
      <c r="G31" s="1" t="s">
        <v>36</v>
      </c>
      <c r="H31" s="1" t="s">
        <v>18</v>
      </c>
      <c r="I31" s="1" t="s">
        <v>19</v>
      </c>
      <c r="J31" s="1">
        <v>15588</v>
      </c>
      <c r="K31" s="1">
        <v>15</v>
      </c>
      <c r="L31" s="1">
        <v>79</v>
      </c>
      <c r="M31" s="7">
        <f>Table1[[#This Row],[Tuition Fee (拢)]]/Table1[[#This Row],[Credits]]</f>
        <v>1039.2</v>
      </c>
    </row>
    <row r="32" spans="1:13">
      <c r="A32" s="2">
        <v>45464</v>
      </c>
      <c r="B32" s="1" t="s">
        <v>95</v>
      </c>
      <c r="C32" s="1" t="s">
        <v>96</v>
      </c>
      <c r="D32" s="1" t="s">
        <v>97</v>
      </c>
      <c r="E32" s="1" t="s">
        <v>21</v>
      </c>
      <c r="F32" s="1" t="s">
        <v>53</v>
      </c>
      <c r="G32" s="1" t="s">
        <v>17</v>
      </c>
      <c r="H32" s="1" t="s">
        <v>31</v>
      </c>
      <c r="I32" s="1" t="s">
        <v>19</v>
      </c>
      <c r="J32" s="1">
        <v>17398</v>
      </c>
      <c r="K32" s="1">
        <v>30</v>
      </c>
      <c r="L32" s="1">
        <v>75</v>
      </c>
      <c r="M32" s="7">
        <f>Table1[[#This Row],[Tuition Fee (拢)]]/Table1[[#This Row],[Credits]]</f>
        <v>579.93333333333328</v>
      </c>
    </row>
    <row r="33" spans="1:13">
      <c r="A33" s="2">
        <v>45478</v>
      </c>
      <c r="B33" s="1" t="s">
        <v>98</v>
      </c>
      <c r="C33" s="1" t="s">
        <v>99</v>
      </c>
      <c r="D33" s="1" t="s">
        <v>100</v>
      </c>
      <c r="E33" s="1" t="s">
        <v>21</v>
      </c>
      <c r="F33" s="1" t="s">
        <v>40</v>
      </c>
      <c r="G33" s="1" t="s">
        <v>17</v>
      </c>
      <c r="H33" s="1" t="s">
        <v>31</v>
      </c>
      <c r="I33" s="1" t="s">
        <v>25</v>
      </c>
      <c r="J33" s="1">
        <v>24665</v>
      </c>
      <c r="K33" s="1">
        <v>10</v>
      </c>
      <c r="L33" s="1">
        <v>78</v>
      </c>
      <c r="M33" s="7">
        <f>Table1[[#This Row],[Tuition Fee (拢)]]/Table1[[#This Row],[Credits]]</f>
        <v>2466.5</v>
      </c>
    </row>
    <row r="34" spans="1:13">
      <c r="A34" s="2">
        <v>44846</v>
      </c>
      <c r="B34" s="1" t="s">
        <v>101</v>
      </c>
      <c r="C34" s="1" t="s">
        <v>13</v>
      </c>
      <c r="D34" s="1" t="s">
        <v>14</v>
      </c>
      <c r="E34" s="1" t="s">
        <v>15</v>
      </c>
      <c r="F34" s="1" t="s">
        <v>16</v>
      </c>
      <c r="G34" s="1" t="s">
        <v>23</v>
      </c>
      <c r="H34" s="1" t="s">
        <v>18</v>
      </c>
      <c r="I34" s="1" t="s">
        <v>19</v>
      </c>
      <c r="J34" s="1">
        <v>16612</v>
      </c>
      <c r="K34" s="1">
        <v>30</v>
      </c>
      <c r="L34" s="1">
        <v>57</v>
      </c>
      <c r="M34" s="7">
        <f>Table1[[#This Row],[Tuition Fee (拢)]]/Table1[[#This Row],[Credits]]</f>
        <v>553.73333333333335</v>
      </c>
    </row>
    <row r="35" spans="1:13">
      <c r="A35" s="2">
        <v>44586</v>
      </c>
      <c r="B35" s="1" t="s">
        <v>102</v>
      </c>
      <c r="C35" s="1" t="s">
        <v>13</v>
      </c>
      <c r="D35" s="1" t="s">
        <v>14</v>
      </c>
      <c r="E35" s="1" t="s">
        <v>34</v>
      </c>
      <c r="F35" s="1" t="s">
        <v>83</v>
      </c>
      <c r="G35" s="1" t="s">
        <v>36</v>
      </c>
      <c r="H35" s="1" t="s">
        <v>18</v>
      </c>
      <c r="I35" s="1" t="s">
        <v>19</v>
      </c>
      <c r="J35" s="1">
        <v>19231</v>
      </c>
      <c r="K35" s="1">
        <v>15</v>
      </c>
      <c r="L35" s="1">
        <v>83</v>
      </c>
      <c r="M35" s="7">
        <f>Table1[[#This Row],[Tuition Fee (拢)]]/Table1[[#This Row],[Credits]]</f>
        <v>1282.0666666666666</v>
      </c>
    </row>
    <row r="36" spans="1:13">
      <c r="A36" s="2">
        <v>44819</v>
      </c>
      <c r="B36" s="1" t="s">
        <v>103</v>
      </c>
      <c r="C36" s="1" t="s">
        <v>13</v>
      </c>
      <c r="D36" s="1" t="s">
        <v>14</v>
      </c>
      <c r="E36" s="1" t="s">
        <v>29</v>
      </c>
      <c r="F36" s="1" t="s">
        <v>76</v>
      </c>
      <c r="G36" s="1" t="s">
        <v>23</v>
      </c>
      <c r="H36" s="1" t="s">
        <v>18</v>
      </c>
      <c r="I36" s="1" t="s">
        <v>25</v>
      </c>
      <c r="J36" s="1">
        <v>20121</v>
      </c>
      <c r="K36" s="1">
        <v>30</v>
      </c>
      <c r="L36" s="1">
        <v>86</v>
      </c>
      <c r="M36" s="7">
        <f>Table1[[#This Row],[Tuition Fee (拢)]]/Table1[[#This Row],[Credits]]</f>
        <v>670.7</v>
      </c>
    </row>
    <row r="37" spans="1:13">
      <c r="A37" s="2">
        <v>44767</v>
      </c>
      <c r="B37" s="1" t="s">
        <v>104</v>
      </c>
      <c r="C37" s="1" t="s">
        <v>13</v>
      </c>
      <c r="D37" s="1" t="s">
        <v>14</v>
      </c>
      <c r="E37" s="1" t="s">
        <v>44</v>
      </c>
      <c r="F37" s="1" t="s">
        <v>60</v>
      </c>
      <c r="G37" s="1" t="s">
        <v>17</v>
      </c>
      <c r="H37" s="1" t="s">
        <v>18</v>
      </c>
      <c r="I37" s="1" t="s">
        <v>19</v>
      </c>
      <c r="J37" s="1">
        <v>16458</v>
      </c>
      <c r="K37" s="1">
        <v>15</v>
      </c>
      <c r="L37" s="1">
        <v>72</v>
      </c>
      <c r="M37" s="7">
        <f>Table1[[#This Row],[Tuition Fee (拢)]]/Table1[[#This Row],[Credits]]</f>
        <v>1097.2</v>
      </c>
    </row>
    <row r="38" spans="1:13">
      <c r="A38" s="2">
        <v>45506</v>
      </c>
      <c r="B38" s="1" t="s">
        <v>105</v>
      </c>
      <c r="C38" s="1" t="s">
        <v>69</v>
      </c>
      <c r="D38" s="1" t="s">
        <v>70</v>
      </c>
      <c r="E38" s="1" t="s">
        <v>29</v>
      </c>
      <c r="F38" s="1" t="s">
        <v>30</v>
      </c>
      <c r="G38" s="1" t="s">
        <v>17</v>
      </c>
      <c r="H38" s="1" t="s">
        <v>31</v>
      </c>
      <c r="I38" s="1" t="s">
        <v>25</v>
      </c>
      <c r="J38" s="1">
        <v>16484</v>
      </c>
      <c r="K38" s="1">
        <v>10</v>
      </c>
      <c r="L38" s="1">
        <v>66</v>
      </c>
      <c r="M38" s="7">
        <f>Table1[[#This Row],[Tuition Fee (拢)]]/Table1[[#This Row],[Credits]]</f>
        <v>1648.4</v>
      </c>
    </row>
    <row r="39" spans="1:13">
      <c r="A39" s="2">
        <v>44583</v>
      </c>
      <c r="B39" s="1" t="s">
        <v>106</v>
      </c>
      <c r="C39" s="1" t="s">
        <v>85</v>
      </c>
      <c r="D39" s="1" t="s">
        <v>86</v>
      </c>
      <c r="E39" s="1" t="s">
        <v>44</v>
      </c>
      <c r="F39" s="1" t="s">
        <v>45</v>
      </c>
      <c r="G39" s="1" t="s">
        <v>36</v>
      </c>
      <c r="H39" s="1" t="s">
        <v>18</v>
      </c>
      <c r="I39" s="1" t="s">
        <v>19</v>
      </c>
      <c r="J39" s="1">
        <v>15600</v>
      </c>
      <c r="K39" s="1">
        <v>20</v>
      </c>
      <c r="L39" s="1">
        <v>58</v>
      </c>
      <c r="M39" s="7">
        <f>Table1[[#This Row],[Tuition Fee (拢)]]/Table1[[#This Row],[Credits]]</f>
        <v>780</v>
      </c>
    </row>
    <row r="40" spans="1:13">
      <c r="A40" s="2">
        <v>45240</v>
      </c>
      <c r="B40" s="1" t="s">
        <v>107</v>
      </c>
      <c r="C40" s="1" t="s">
        <v>13</v>
      </c>
      <c r="D40" s="1" t="s">
        <v>14</v>
      </c>
      <c r="E40" s="1" t="s">
        <v>44</v>
      </c>
      <c r="F40" s="1" t="s">
        <v>108</v>
      </c>
      <c r="G40" s="1" t="s">
        <v>23</v>
      </c>
      <c r="H40" s="1" t="s">
        <v>24</v>
      </c>
      <c r="I40" s="1" t="s">
        <v>25</v>
      </c>
      <c r="J40" s="1">
        <v>21973</v>
      </c>
      <c r="K40" s="1">
        <v>20</v>
      </c>
      <c r="L40" s="1">
        <v>63</v>
      </c>
      <c r="M40" s="7">
        <f>Table1[[#This Row],[Tuition Fee (拢)]]/Table1[[#This Row],[Credits]]</f>
        <v>1098.6500000000001</v>
      </c>
    </row>
    <row r="41" spans="1:13">
      <c r="A41" s="2">
        <v>45223</v>
      </c>
      <c r="B41" s="1" t="s">
        <v>109</v>
      </c>
      <c r="C41" s="1" t="s">
        <v>13</v>
      </c>
      <c r="D41" s="1" t="s">
        <v>14</v>
      </c>
      <c r="E41" s="1" t="s">
        <v>29</v>
      </c>
      <c r="F41" s="1" t="s">
        <v>62</v>
      </c>
      <c r="G41" s="1" t="s">
        <v>23</v>
      </c>
      <c r="H41" s="1" t="s">
        <v>24</v>
      </c>
      <c r="I41" s="1" t="s">
        <v>19</v>
      </c>
      <c r="J41" s="1">
        <v>18606</v>
      </c>
      <c r="K41" s="1">
        <v>10</v>
      </c>
      <c r="L41" s="1">
        <v>74</v>
      </c>
      <c r="M41" s="7">
        <f>Table1[[#This Row],[Tuition Fee (拢)]]/Table1[[#This Row],[Credits]]</f>
        <v>1860.6</v>
      </c>
    </row>
    <row r="42" spans="1:13">
      <c r="A42" s="2">
        <v>44969</v>
      </c>
      <c r="B42" s="1" t="s">
        <v>110</v>
      </c>
      <c r="C42" s="1" t="s">
        <v>13</v>
      </c>
      <c r="D42" s="1" t="s">
        <v>14</v>
      </c>
      <c r="E42" s="1" t="s">
        <v>44</v>
      </c>
      <c r="F42" s="1" t="s">
        <v>60</v>
      </c>
      <c r="G42" s="1" t="s">
        <v>36</v>
      </c>
      <c r="H42" s="1" t="s">
        <v>24</v>
      </c>
      <c r="I42" s="1" t="s">
        <v>32</v>
      </c>
      <c r="J42" s="1">
        <v>10393</v>
      </c>
      <c r="K42" s="1">
        <v>20</v>
      </c>
      <c r="L42" s="1">
        <v>78</v>
      </c>
      <c r="M42" s="7">
        <f>Table1[[#This Row],[Tuition Fee (拢)]]/Table1[[#This Row],[Credits]]</f>
        <v>519.65</v>
      </c>
    </row>
    <row r="43" spans="1:13">
      <c r="A43" s="2">
        <v>44814</v>
      </c>
      <c r="B43" s="1" t="s">
        <v>111</v>
      </c>
      <c r="C43" s="1" t="s">
        <v>78</v>
      </c>
      <c r="D43" s="1" t="s">
        <v>79</v>
      </c>
      <c r="E43" s="1" t="s">
        <v>34</v>
      </c>
      <c r="F43" s="1" t="s">
        <v>58</v>
      </c>
      <c r="G43" s="1" t="s">
        <v>23</v>
      </c>
      <c r="H43" s="1" t="s">
        <v>18</v>
      </c>
      <c r="I43" s="1" t="s">
        <v>19</v>
      </c>
      <c r="J43" s="1">
        <v>19404</v>
      </c>
      <c r="K43" s="1">
        <v>15</v>
      </c>
      <c r="L43" s="1">
        <v>61</v>
      </c>
      <c r="M43" s="7">
        <f>Table1[[#This Row],[Tuition Fee (拢)]]/Table1[[#This Row],[Credits]]</f>
        <v>1293.5999999999999</v>
      </c>
    </row>
    <row r="44" spans="1:13">
      <c r="A44" s="2">
        <v>45235</v>
      </c>
      <c r="B44" s="1" t="s">
        <v>112</v>
      </c>
      <c r="C44" s="1" t="s">
        <v>13</v>
      </c>
      <c r="D44" s="1" t="s">
        <v>14</v>
      </c>
      <c r="E44" s="1" t="s">
        <v>29</v>
      </c>
      <c r="F44" s="1" t="s">
        <v>76</v>
      </c>
      <c r="G44" s="1" t="s">
        <v>23</v>
      </c>
      <c r="H44" s="1" t="s">
        <v>24</v>
      </c>
      <c r="I44" s="1" t="s">
        <v>32</v>
      </c>
      <c r="J44" s="1">
        <v>10436</v>
      </c>
      <c r="K44" s="1">
        <v>20</v>
      </c>
      <c r="L44" s="1">
        <v>77</v>
      </c>
      <c r="M44" s="7">
        <f>Table1[[#This Row],[Tuition Fee (拢)]]/Table1[[#This Row],[Credits]]</f>
        <v>521.79999999999995</v>
      </c>
    </row>
    <row r="45" spans="1:13">
      <c r="A45" s="2">
        <v>45329</v>
      </c>
      <c r="B45" s="1" t="s">
        <v>113</v>
      </c>
      <c r="C45" s="1" t="s">
        <v>13</v>
      </c>
      <c r="D45" s="1" t="s">
        <v>14</v>
      </c>
      <c r="E45" s="1" t="s">
        <v>44</v>
      </c>
      <c r="F45" s="1" t="s">
        <v>108</v>
      </c>
      <c r="G45" s="1" t="s">
        <v>36</v>
      </c>
      <c r="H45" s="1" t="s">
        <v>31</v>
      </c>
      <c r="I45" s="1" t="s">
        <v>19</v>
      </c>
      <c r="J45" s="1">
        <v>15473</v>
      </c>
      <c r="K45" s="1">
        <v>30</v>
      </c>
      <c r="L45" s="1">
        <v>61</v>
      </c>
      <c r="M45" s="7">
        <f>Table1[[#This Row],[Tuition Fee (拢)]]/Table1[[#This Row],[Credits]]</f>
        <v>515.76666666666665</v>
      </c>
    </row>
    <row r="46" spans="1:13">
      <c r="A46" s="2">
        <v>44866</v>
      </c>
      <c r="B46" s="1" t="s">
        <v>114</v>
      </c>
      <c r="C46" s="1" t="s">
        <v>13</v>
      </c>
      <c r="D46" s="1" t="s">
        <v>14</v>
      </c>
      <c r="E46" s="1" t="s">
        <v>44</v>
      </c>
      <c r="F46" s="1" t="s">
        <v>60</v>
      </c>
      <c r="G46" s="1" t="s">
        <v>23</v>
      </c>
      <c r="H46" s="1" t="s">
        <v>18</v>
      </c>
      <c r="I46" s="1" t="s">
        <v>19</v>
      </c>
      <c r="J46" s="1">
        <v>16192</v>
      </c>
      <c r="K46" s="1">
        <v>15</v>
      </c>
      <c r="L46" s="1">
        <v>72</v>
      </c>
      <c r="M46" s="7">
        <f>Table1[[#This Row],[Tuition Fee (拢)]]/Table1[[#This Row],[Credits]]</f>
        <v>1079.4666666666667</v>
      </c>
    </row>
    <row r="47" spans="1:13">
      <c r="A47" s="2">
        <v>45546</v>
      </c>
      <c r="B47" s="1" t="s">
        <v>115</v>
      </c>
      <c r="C47" s="1" t="s">
        <v>85</v>
      </c>
      <c r="D47" s="1" t="s">
        <v>86</v>
      </c>
      <c r="E47" s="1" t="s">
        <v>44</v>
      </c>
      <c r="F47" s="1" t="s">
        <v>45</v>
      </c>
      <c r="G47" s="1" t="s">
        <v>23</v>
      </c>
      <c r="H47" s="1" t="s">
        <v>31</v>
      </c>
      <c r="I47" s="1" t="s">
        <v>19</v>
      </c>
      <c r="J47" s="1">
        <v>17941</v>
      </c>
      <c r="K47" s="1">
        <v>15</v>
      </c>
      <c r="L47" s="1">
        <v>74</v>
      </c>
      <c r="M47" s="7">
        <f>Table1[[#This Row],[Tuition Fee (拢)]]/Table1[[#This Row],[Credits]]</f>
        <v>1196.0666666666666</v>
      </c>
    </row>
    <row r="48" spans="1:13">
      <c r="A48" s="2">
        <v>45567</v>
      </c>
      <c r="B48" s="1" t="s">
        <v>116</v>
      </c>
      <c r="C48" s="1" t="s">
        <v>13</v>
      </c>
      <c r="D48" s="1" t="s">
        <v>14</v>
      </c>
      <c r="E48" s="1" t="s">
        <v>15</v>
      </c>
      <c r="F48" s="1" t="s">
        <v>16</v>
      </c>
      <c r="G48" s="1" t="s">
        <v>23</v>
      </c>
      <c r="H48" s="1" t="s">
        <v>31</v>
      </c>
      <c r="I48" s="1" t="s">
        <v>32</v>
      </c>
      <c r="J48" s="1">
        <v>10999</v>
      </c>
      <c r="K48" s="1">
        <v>30</v>
      </c>
      <c r="L48" s="1">
        <v>79</v>
      </c>
      <c r="M48" s="7">
        <f>Table1[[#This Row],[Tuition Fee (拢)]]/Table1[[#This Row],[Credits]]</f>
        <v>366.63333333333333</v>
      </c>
    </row>
    <row r="49" spans="1:13">
      <c r="A49" s="2">
        <v>44999</v>
      </c>
      <c r="B49" s="1" t="s">
        <v>117</v>
      </c>
      <c r="C49" s="1" t="s">
        <v>13</v>
      </c>
      <c r="D49" s="1" t="s">
        <v>14</v>
      </c>
      <c r="E49" s="1" t="s">
        <v>44</v>
      </c>
      <c r="F49" s="1" t="s">
        <v>108</v>
      </c>
      <c r="G49" s="1" t="s">
        <v>36</v>
      </c>
      <c r="H49" s="1" t="s">
        <v>24</v>
      </c>
      <c r="I49" s="1" t="s">
        <v>25</v>
      </c>
      <c r="J49" s="1">
        <v>18686</v>
      </c>
      <c r="K49" s="1">
        <v>30</v>
      </c>
      <c r="L49" s="1">
        <v>70</v>
      </c>
      <c r="M49" s="7">
        <f>Table1[[#This Row],[Tuition Fee (拢)]]/Table1[[#This Row],[Credits]]</f>
        <v>622.86666666666667</v>
      </c>
    </row>
    <row r="50" spans="1:13">
      <c r="A50" s="2">
        <v>44822</v>
      </c>
      <c r="B50" s="1" t="s">
        <v>118</v>
      </c>
      <c r="C50" s="1" t="s">
        <v>13</v>
      </c>
      <c r="D50" s="1" t="s">
        <v>14</v>
      </c>
      <c r="E50" s="1" t="s">
        <v>21</v>
      </c>
      <c r="F50" s="1" t="s">
        <v>22</v>
      </c>
      <c r="G50" s="1" t="s">
        <v>23</v>
      </c>
      <c r="H50" s="1" t="s">
        <v>18</v>
      </c>
      <c r="I50" s="1" t="s">
        <v>19</v>
      </c>
      <c r="J50" s="1">
        <v>17414</v>
      </c>
      <c r="K50" s="1">
        <v>15</v>
      </c>
      <c r="L50" s="1">
        <v>80</v>
      </c>
      <c r="M50" s="7">
        <f>Table1[[#This Row],[Tuition Fee (拢)]]/Table1[[#This Row],[Credits]]</f>
        <v>1160.9333333333334</v>
      </c>
    </row>
    <row r="51" spans="1:13">
      <c r="A51" s="2">
        <v>45300</v>
      </c>
      <c r="B51" s="1" t="s">
        <v>119</v>
      </c>
      <c r="C51" s="1" t="s">
        <v>13</v>
      </c>
      <c r="D51" s="1" t="s">
        <v>14</v>
      </c>
      <c r="E51" s="1" t="s">
        <v>44</v>
      </c>
      <c r="F51" s="1" t="s">
        <v>120</v>
      </c>
      <c r="G51" s="1" t="s">
        <v>36</v>
      </c>
      <c r="H51" s="1" t="s">
        <v>31</v>
      </c>
      <c r="I51" s="1" t="s">
        <v>19</v>
      </c>
      <c r="J51" s="1">
        <v>15736</v>
      </c>
      <c r="K51" s="1">
        <v>30</v>
      </c>
      <c r="L51" s="1">
        <v>77</v>
      </c>
      <c r="M51" s="7">
        <f>Table1[[#This Row],[Tuition Fee (拢)]]/Table1[[#This Row],[Credits]]</f>
        <v>524.5333333333333</v>
      </c>
    </row>
    <row r="52" spans="1:13">
      <c r="A52" s="2">
        <v>45175</v>
      </c>
      <c r="B52" s="1" t="s">
        <v>121</v>
      </c>
      <c r="C52" s="1" t="s">
        <v>13</v>
      </c>
      <c r="D52" s="1" t="s">
        <v>14</v>
      </c>
      <c r="E52" s="1" t="s">
        <v>44</v>
      </c>
      <c r="F52" s="1" t="s">
        <v>120</v>
      </c>
      <c r="G52" s="1" t="s">
        <v>23</v>
      </c>
      <c r="H52" s="1" t="s">
        <v>24</v>
      </c>
      <c r="I52" s="1" t="s">
        <v>32</v>
      </c>
      <c r="J52" s="1">
        <v>10485</v>
      </c>
      <c r="K52" s="1">
        <v>15</v>
      </c>
      <c r="L52" s="1">
        <v>59</v>
      </c>
      <c r="M52" s="7">
        <f>Table1[[#This Row],[Tuition Fee (拢)]]/Table1[[#This Row],[Credits]]</f>
        <v>699</v>
      </c>
    </row>
    <row r="53" spans="1:13">
      <c r="A53" s="2">
        <v>45555</v>
      </c>
      <c r="B53" s="1" t="s">
        <v>122</v>
      </c>
      <c r="C53" s="1" t="s">
        <v>13</v>
      </c>
      <c r="D53" s="1" t="s">
        <v>14</v>
      </c>
      <c r="E53" s="1" t="s">
        <v>44</v>
      </c>
      <c r="F53" s="1" t="s">
        <v>120</v>
      </c>
      <c r="G53" s="1" t="s">
        <v>23</v>
      </c>
      <c r="H53" s="1" t="s">
        <v>31</v>
      </c>
      <c r="I53" s="1" t="s">
        <v>19</v>
      </c>
      <c r="J53" s="1">
        <v>17030</v>
      </c>
      <c r="K53" s="1">
        <v>30</v>
      </c>
      <c r="L53" s="1">
        <v>78</v>
      </c>
      <c r="M53" s="7">
        <f>Table1[[#This Row],[Tuition Fee (拢)]]/Table1[[#This Row],[Credits]]</f>
        <v>567.66666666666663</v>
      </c>
    </row>
    <row r="54" spans="1:13">
      <c r="A54" s="2">
        <v>44734</v>
      </c>
      <c r="B54" s="1" t="s">
        <v>123</v>
      </c>
      <c r="C54" s="1" t="s">
        <v>13</v>
      </c>
      <c r="D54" s="1" t="s">
        <v>14</v>
      </c>
      <c r="E54" s="1" t="s">
        <v>21</v>
      </c>
      <c r="F54" s="1" t="s">
        <v>81</v>
      </c>
      <c r="G54" s="1" t="s">
        <v>17</v>
      </c>
      <c r="H54" s="1" t="s">
        <v>18</v>
      </c>
      <c r="I54" s="1" t="s">
        <v>32</v>
      </c>
      <c r="J54" s="1">
        <v>9775</v>
      </c>
      <c r="K54" s="1">
        <v>30</v>
      </c>
      <c r="L54" s="1">
        <v>69</v>
      </c>
      <c r="M54" s="7">
        <f>Table1[[#This Row],[Tuition Fee (拢)]]/Table1[[#This Row],[Credits]]</f>
        <v>325.83333333333331</v>
      </c>
    </row>
    <row r="55" spans="1:13">
      <c r="A55" s="2">
        <v>44858</v>
      </c>
      <c r="B55" s="1" t="s">
        <v>124</v>
      </c>
      <c r="C55" s="1" t="s">
        <v>13</v>
      </c>
      <c r="D55" s="1" t="s">
        <v>14</v>
      </c>
      <c r="E55" s="1" t="s">
        <v>44</v>
      </c>
      <c r="F55" s="1" t="s">
        <v>120</v>
      </c>
      <c r="G55" s="1" t="s">
        <v>23</v>
      </c>
      <c r="H55" s="1" t="s">
        <v>18</v>
      </c>
      <c r="I55" s="1" t="s">
        <v>25</v>
      </c>
      <c r="J55" s="1">
        <v>19749</v>
      </c>
      <c r="K55" s="1">
        <v>20</v>
      </c>
      <c r="L55" s="1">
        <v>87</v>
      </c>
      <c r="M55" s="7">
        <f>Table1[[#This Row],[Tuition Fee (拢)]]/Table1[[#This Row],[Credits]]</f>
        <v>987.45</v>
      </c>
    </row>
    <row r="56" spans="1:13">
      <c r="A56" s="2">
        <v>44713</v>
      </c>
      <c r="B56" s="1" t="s">
        <v>125</v>
      </c>
      <c r="C56" s="1" t="s">
        <v>126</v>
      </c>
      <c r="D56" s="1" t="s">
        <v>127</v>
      </c>
      <c r="E56" s="1" t="s">
        <v>15</v>
      </c>
      <c r="F56" s="1" t="s">
        <v>128</v>
      </c>
      <c r="G56" s="1" t="s">
        <v>17</v>
      </c>
      <c r="H56" s="1" t="s">
        <v>18</v>
      </c>
      <c r="I56" s="1" t="s">
        <v>25</v>
      </c>
      <c r="J56" s="1">
        <v>17797</v>
      </c>
      <c r="K56" s="1">
        <v>20</v>
      </c>
      <c r="L56" s="1">
        <v>74</v>
      </c>
      <c r="M56" s="7">
        <f>Table1[[#This Row],[Tuition Fee (拢)]]/Table1[[#This Row],[Credits]]</f>
        <v>889.85</v>
      </c>
    </row>
    <row r="57" spans="1:13">
      <c r="A57" s="2">
        <v>45335</v>
      </c>
      <c r="B57" s="1" t="s">
        <v>129</v>
      </c>
      <c r="C57" s="1" t="s">
        <v>13</v>
      </c>
      <c r="D57" s="1" t="s">
        <v>14</v>
      </c>
      <c r="E57" s="1" t="s">
        <v>44</v>
      </c>
      <c r="F57" s="1" t="s">
        <v>60</v>
      </c>
      <c r="G57" s="1" t="s">
        <v>36</v>
      </c>
      <c r="H57" s="1" t="s">
        <v>31</v>
      </c>
      <c r="I57" s="1" t="s">
        <v>32</v>
      </c>
      <c r="J57" s="1">
        <v>9972</v>
      </c>
      <c r="K57" s="1">
        <v>15</v>
      </c>
      <c r="L57" s="1">
        <v>58</v>
      </c>
      <c r="M57" s="7">
        <f>Table1[[#This Row],[Tuition Fee (拢)]]/Table1[[#This Row],[Credits]]</f>
        <v>664.8</v>
      </c>
    </row>
    <row r="58" spans="1:13">
      <c r="A58" s="2">
        <v>44644</v>
      </c>
      <c r="B58" s="1" t="s">
        <v>130</v>
      </c>
      <c r="C58" s="1" t="s">
        <v>99</v>
      </c>
      <c r="D58" s="1" t="s">
        <v>100</v>
      </c>
      <c r="E58" s="1" t="s">
        <v>21</v>
      </c>
      <c r="F58" s="1" t="s">
        <v>40</v>
      </c>
      <c r="G58" s="1" t="s">
        <v>36</v>
      </c>
      <c r="H58" s="1" t="s">
        <v>18</v>
      </c>
      <c r="I58" s="1" t="s">
        <v>25</v>
      </c>
      <c r="J58" s="1">
        <v>20653</v>
      </c>
      <c r="K58" s="1">
        <v>30</v>
      </c>
      <c r="L58" s="1">
        <v>79</v>
      </c>
      <c r="M58" s="7">
        <f>Table1[[#This Row],[Tuition Fee (拢)]]/Table1[[#This Row],[Credits]]</f>
        <v>688.43333333333328</v>
      </c>
    </row>
    <row r="59" spans="1:13">
      <c r="A59" s="2">
        <v>45498</v>
      </c>
      <c r="B59" s="1" t="s">
        <v>131</v>
      </c>
      <c r="C59" s="1" t="s">
        <v>13</v>
      </c>
      <c r="D59" s="1" t="s">
        <v>14</v>
      </c>
      <c r="E59" s="1" t="s">
        <v>21</v>
      </c>
      <c r="F59" s="1" t="s">
        <v>81</v>
      </c>
      <c r="G59" s="1" t="s">
        <v>17</v>
      </c>
      <c r="H59" s="1" t="s">
        <v>31</v>
      </c>
      <c r="I59" s="1" t="s">
        <v>32</v>
      </c>
      <c r="J59" s="1">
        <v>9689</v>
      </c>
      <c r="K59" s="1">
        <v>30</v>
      </c>
      <c r="L59" s="1">
        <v>64</v>
      </c>
      <c r="M59" s="7">
        <f>Table1[[#This Row],[Tuition Fee (拢)]]/Table1[[#This Row],[Credits]]</f>
        <v>322.96666666666664</v>
      </c>
    </row>
    <row r="60" spans="1:13">
      <c r="A60" s="2">
        <v>45013</v>
      </c>
      <c r="B60" s="1" t="s">
        <v>132</v>
      </c>
      <c r="C60" s="1" t="s">
        <v>13</v>
      </c>
      <c r="D60" s="1" t="s">
        <v>14</v>
      </c>
      <c r="E60" s="1" t="s">
        <v>15</v>
      </c>
      <c r="F60" s="1" t="s">
        <v>65</v>
      </c>
      <c r="G60" s="1" t="s">
        <v>36</v>
      </c>
      <c r="H60" s="1" t="s">
        <v>24</v>
      </c>
      <c r="I60" s="1" t="s">
        <v>25</v>
      </c>
      <c r="J60" s="1">
        <v>23508</v>
      </c>
      <c r="K60" s="1">
        <v>30</v>
      </c>
      <c r="L60" s="1">
        <v>77</v>
      </c>
      <c r="M60" s="7">
        <f>Table1[[#This Row],[Tuition Fee (拢)]]/Table1[[#This Row],[Credits]]</f>
        <v>783.6</v>
      </c>
    </row>
    <row r="61" spans="1:13">
      <c r="A61" s="2">
        <v>44859</v>
      </c>
      <c r="B61" s="1" t="s">
        <v>133</v>
      </c>
      <c r="C61" s="1" t="s">
        <v>13</v>
      </c>
      <c r="D61" s="1" t="s">
        <v>14</v>
      </c>
      <c r="E61" s="1" t="s">
        <v>21</v>
      </c>
      <c r="F61" s="1" t="s">
        <v>22</v>
      </c>
      <c r="G61" s="1" t="s">
        <v>23</v>
      </c>
      <c r="H61" s="1" t="s">
        <v>18</v>
      </c>
      <c r="I61" s="1" t="s">
        <v>19</v>
      </c>
      <c r="J61" s="1">
        <v>13835</v>
      </c>
      <c r="K61" s="1">
        <v>20</v>
      </c>
      <c r="L61" s="1">
        <v>63</v>
      </c>
      <c r="M61" s="7">
        <f>Table1[[#This Row],[Tuition Fee (拢)]]/Table1[[#This Row],[Credits]]</f>
        <v>691.75</v>
      </c>
    </row>
    <row r="62" spans="1:13">
      <c r="A62" s="2">
        <v>45494</v>
      </c>
      <c r="B62" s="1" t="s">
        <v>134</v>
      </c>
      <c r="C62" s="1" t="s">
        <v>78</v>
      </c>
      <c r="D62" s="1" t="s">
        <v>79</v>
      </c>
      <c r="E62" s="1" t="s">
        <v>34</v>
      </c>
      <c r="F62" s="1" t="s">
        <v>58</v>
      </c>
      <c r="G62" s="1" t="s">
        <v>17</v>
      </c>
      <c r="H62" s="1" t="s">
        <v>31</v>
      </c>
      <c r="I62" s="1" t="s">
        <v>19</v>
      </c>
      <c r="J62" s="1">
        <v>19166</v>
      </c>
      <c r="K62" s="1">
        <v>15</v>
      </c>
      <c r="L62" s="1">
        <v>77</v>
      </c>
      <c r="M62" s="7">
        <f>Table1[[#This Row],[Tuition Fee (拢)]]/Table1[[#This Row],[Credits]]</f>
        <v>1277.7333333333333</v>
      </c>
    </row>
    <row r="63" spans="1:13">
      <c r="A63" s="2">
        <v>44985</v>
      </c>
      <c r="B63" s="1" t="s">
        <v>135</v>
      </c>
      <c r="C63" s="1" t="s">
        <v>85</v>
      </c>
      <c r="D63" s="1" t="s">
        <v>86</v>
      </c>
      <c r="E63" s="1" t="s">
        <v>44</v>
      </c>
      <c r="F63" s="1" t="s">
        <v>45</v>
      </c>
      <c r="G63" s="1" t="s">
        <v>36</v>
      </c>
      <c r="H63" s="1" t="s">
        <v>24</v>
      </c>
      <c r="I63" s="1" t="s">
        <v>19</v>
      </c>
      <c r="J63" s="1">
        <v>17504</v>
      </c>
      <c r="K63" s="1">
        <v>10</v>
      </c>
      <c r="L63" s="1">
        <v>63</v>
      </c>
      <c r="M63" s="7">
        <f>Table1[[#This Row],[Tuition Fee (拢)]]/Table1[[#This Row],[Credits]]</f>
        <v>1750.4</v>
      </c>
    </row>
    <row r="64" spans="1:13">
      <c r="A64" s="2">
        <v>44790</v>
      </c>
      <c r="B64" s="1" t="s">
        <v>136</v>
      </c>
      <c r="C64" s="1" t="s">
        <v>13</v>
      </c>
      <c r="D64" s="1" t="s">
        <v>14</v>
      </c>
      <c r="E64" s="1" t="s">
        <v>44</v>
      </c>
      <c r="F64" s="1" t="s">
        <v>60</v>
      </c>
      <c r="G64" s="1" t="s">
        <v>17</v>
      </c>
      <c r="H64" s="1" t="s">
        <v>18</v>
      </c>
      <c r="I64" s="1" t="s">
        <v>19</v>
      </c>
      <c r="J64" s="1">
        <v>19127</v>
      </c>
      <c r="K64" s="1">
        <v>20</v>
      </c>
      <c r="L64" s="1">
        <v>64</v>
      </c>
      <c r="M64" s="7">
        <f>Table1[[#This Row],[Tuition Fee (拢)]]/Table1[[#This Row],[Credits]]</f>
        <v>956.35</v>
      </c>
    </row>
    <row r="65" spans="1:13">
      <c r="A65" s="2">
        <v>45244</v>
      </c>
      <c r="B65" s="1" t="s">
        <v>137</v>
      </c>
      <c r="C65" s="1" t="s">
        <v>13</v>
      </c>
      <c r="D65" s="1" t="s">
        <v>14</v>
      </c>
      <c r="E65" s="1" t="s">
        <v>34</v>
      </c>
      <c r="F65" s="1" t="s">
        <v>35</v>
      </c>
      <c r="G65" s="1" t="s">
        <v>23</v>
      </c>
      <c r="H65" s="1" t="s">
        <v>24</v>
      </c>
      <c r="I65" s="1" t="s">
        <v>19</v>
      </c>
      <c r="J65" s="1">
        <v>13562</v>
      </c>
      <c r="K65" s="1">
        <v>10</v>
      </c>
      <c r="L65" s="1">
        <v>79</v>
      </c>
      <c r="M65" s="7">
        <f>Table1[[#This Row],[Tuition Fee (拢)]]/Table1[[#This Row],[Credits]]</f>
        <v>1356.2</v>
      </c>
    </row>
    <row r="66" spans="1:13">
      <c r="A66" s="2">
        <v>45246</v>
      </c>
      <c r="B66" s="1" t="s">
        <v>138</v>
      </c>
      <c r="C66" s="1" t="s">
        <v>69</v>
      </c>
      <c r="D66" s="1" t="s">
        <v>70</v>
      </c>
      <c r="E66" s="1" t="s">
        <v>29</v>
      </c>
      <c r="F66" s="1" t="s">
        <v>30</v>
      </c>
      <c r="G66" s="1" t="s">
        <v>23</v>
      </c>
      <c r="H66" s="1" t="s">
        <v>24</v>
      </c>
      <c r="I66" s="1" t="s">
        <v>32</v>
      </c>
      <c r="J66" s="1">
        <v>10423</v>
      </c>
      <c r="K66" s="1">
        <v>30</v>
      </c>
      <c r="L66" s="1">
        <v>72</v>
      </c>
      <c r="M66" s="7">
        <f>Table1[[#This Row],[Tuition Fee (拢)]]/Table1[[#This Row],[Credits]]</f>
        <v>347.43333333333334</v>
      </c>
    </row>
    <row r="67" spans="1:13">
      <c r="A67" s="2">
        <v>44976</v>
      </c>
      <c r="B67" s="1" t="s">
        <v>139</v>
      </c>
      <c r="C67" s="1" t="s">
        <v>85</v>
      </c>
      <c r="D67" s="1" t="s">
        <v>86</v>
      </c>
      <c r="E67" s="1" t="s">
        <v>44</v>
      </c>
      <c r="F67" s="1" t="s">
        <v>45</v>
      </c>
      <c r="G67" s="1" t="s">
        <v>36</v>
      </c>
      <c r="H67" s="1" t="s">
        <v>24</v>
      </c>
      <c r="I67" s="1" t="s">
        <v>32</v>
      </c>
      <c r="J67" s="1">
        <v>9128</v>
      </c>
      <c r="K67" s="1">
        <v>30</v>
      </c>
      <c r="L67" s="1">
        <v>51</v>
      </c>
      <c r="M67" s="7">
        <f>Table1[[#This Row],[Tuition Fee (拢)]]/Table1[[#This Row],[Credits]]</f>
        <v>304.26666666666665</v>
      </c>
    </row>
    <row r="68" spans="1:13">
      <c r="A68" s="2">
        <v>44749</v>
      </c>
      <c r="B68" s="1" t="s">
        <v>140</v>
      </c>
      <c r="C68" s="1" t="s">
        <v>85</v>
      </c>
      <c r="D68" s="1" t="s">
        <v>86</v>
      </c>
      <c r="E68" s="1" t="s">
        <v>44</v>
      </c>
      <c r="F68" s="1" t="s">
        <v>45</v>
      </c>
      <c r="G68" s="1" t="s">
        <v>17</v>
      </c>
      <c r="H68" s="1" t="s">
        <v>18</v>
      </c>
      <c r="I68" s="1" t="s">
        <v>32</v>
      </c>
      <c r="J68" s="1">
        <v>9394</v>
      </c>
      <c r="K68" s="1">
        <v>15</v>
      </c>
      <c r="L68" s="1">
        <v>53</v>
      </c>
      <c r="M68" s="7">
        <f>Table1[[#This Row],[Tuition Fee (拢)]]/Table1[[#This Row],[Credits]]</f>
        <v>626.26666666666665</v>
      </c>
    </row>
    <row r="69" spans="1:13">
      <c r="A69" s="2">
        <v>45345</v>
      </c>
      <c r="B69" s="1" t="s">
        <v>141</v>
      </c>
      <c r="C69" s="1" t="s">
        <v>13</v>
      </c>
      <c r="D69" s="1" t="s">
        <v>14</v>
      </c>
      <c r="E69" s="1" t="s">
        <v>29</v>
      </c>
      <c r="F69" s="1" t="s">
        <v>47</v>
      </c>
      <c r="G69" s="1" t="s">
        <v>36</v>
      </c>
      <c r="H69" s="1" t="s">
        <v>31</v>
      </c>
      <c r="I69" s="1" t="s">
        <v>25</v>
      </c>
      <c r="J69" s="1">
        <v>19174</v>
      </c>
      <c r="K69" s="1">
        <v>30</v>
      </c>
      <c r="L69" s="1">
        <v>89</v>
      </c>
      <c r="M69" s="7">
        <f>Table1[[#This Row],[Tuition Fee (拢)]]/Table1[[#This Row],[Credits]]</f>
        <v>639.13333333333333</v>
      </c>
    </row>
    <row r="70" spans="1:13">
      <c r="A70" s="2">
        <v>45550</v>
      </c>
      <c r="B70" s="1" t="s">
        <v>142</v>
      </c>
      <c r="C70" s="1" t="s">
        <v>13</v>
      </c>
      <c r="D70" s="1" t="s">
        <v>14</v>
      </c>
      <c r="E70" s="1" t="s">
        <v>29</v>
      </c>
      <c r="F70" s="1" t="s">
        <v>47</v>
      </c>
      <c r="G70" s="1" t="s">
        <v>23</v>
      </c>
      <c r="H70" s="1" t="s">
        <v>31</v>
      </c>
      <c r="I70" s="1" t="s">
        <v>19</v>
      </c>
      <c r="J70" s="1">
        <v>12365</v>
      </c>
      <c r="K70" s="1">
        <v>10</v>
      </c>
      <c r="L70" s="1">
        <v>66</v>
      </c>
      <c r="M70" s="7">
        <f>Table1[[#This Row],[Tuition Fee (拢)]]/Table1[[#This Row],[Credits]]</f>
        <v>1236.5</v>
      </c>
    </row>
    <row r="71" spans="1:13">
      <c r="A71" s="2">
        <v>44797</v>
      </c>
      <c r="B71" s="1" t="s">
        <v>143</v>
      </c>
      <c r="C71" s="1" t="s">
        <v>99</v>
      </c>
      <c r="D71" s="1" t="s">
        <v>100</v>
      </c>
      <c r="E71" s="1" t="s">
        <v>21</v>
      </c>
      <c r="F71" s="1" t="s">
        <v>40</v>
      </c>
      <c r="G71" s="1" t="s">
        <v>17</v>
      </c>
      <c r="H71" s="1" t="s">
        <v>18</v>
      </c>
      <c r="I71" s="1" t="s">
        <v>19</v>
      </c>
      <c r="J71" s="1">
        <v>15183</v>
      </c>
      <c r="K71" s="1">
        <v>20</v>
      </c>
      <c r="L71" s="1">
        <v>74</v>
      </c>
      <c r="M71" s="7">
        <f>Table1[[#This Row],[Tuition Fee (拢)]]/Table1[[#This Row],[Credits]]</f>
        <v>759.15</v>
      </c>
    </row>
    <row r="72" spans="1:13">
      <c r="A72" s="2">
        <v>45001</v>
      </c>
      <c r="B72" s="1" t="s">
        <v>144</v>
      </c>
      <c r="C72" s="1" t="s">
        <v>13</v>
      </c>
      <c r="D72" s="1" t="s">
        <v>14</v>
      </c>
      <c r="E72" s="1" t="s">
        <v>29</v>
      </c>
      <c r="F72" s="1" t="s">
        <v>47</v>
      </c>
      <c r="G72" s="1" t="s">
        <v>36</v>
      </c>
      <c r="H72" s="1" t="s">
        <v>24</v>
      </c>
      <c r="I72" s="1" t="s">
        <v>19</v>
      </c>
      <c r="J72" s="1">
        <v>19727</v>
      </c>
      <c r="K72" s="1">
        <v>30</v>
      </c>
      <c r="L72" s="1">
        <v>73</v>
      </c>
      <c r="M72" s="7">
        <f>Table1[[#This Row],[Tuition Fee (拢)]]/Table1[[#This Row],[Credits]]</f>
        <v>657.56666666666672</v>
      </c>
    </row>
    <row r="73" spans="1:13">
      <c r="A73" s="2">
        <v>45362</v>
      </c>
      <c r="B73" s="1" t="s">
        <v>145</v>
      </c>
      <c r="C73" s="1" t="s">
        <v>56</v>
      </c>
      <c r="D73" s="1" t="s">
        <v>57</v>
      </c>
      <c r="E73" s="1" t="s">
        <v>34</v>
      </c>
      <c r="F73" s="1" t="s">
        <v>58</v>
      </c>
      <c r="G73" s="1" t="s">
        <v>36</v>
      </c>
      <c r="H73" s="1" t="s">
        <v>31</v>
      </c>
      <c r="I73" s="1" t="s">
        <v>32</v>
      </c>
      <c r="J73" s="1">
        <v>9821</v>
      </c>
      <c r="K73" s="1">
        <v>20</v>
      </c>
      <c r="L73" s="1">
        <v>69</v>
      </c>
      <c r="M73" s="7">
        <f>Table1[[#This Row],[Tuition Fee (拢)]]/Table1[[#This Row],[Credits]]</f>
        <v>491.05</v>
      </c>
    </row>
    <row r="74" spans="1:13">
      <c r="A74" s="2">
        <v>45306</v>
      </c>
      <c r="B74" s="1" t="s">
        <v>146</v>
      </c>
      <c r="C74" s="1" t="s">
        <v>13</v>
      </c>
      <c r="D74" s="1" t="s">
        <v>14</v>
      </c>
      <c r="E74" s="1" t="s">
        <v>29</v>
      </c>
      <c r="F74" s="1" t="s">
        <v>62</v>
      </c>
      <c r="G74" s="1" t="s">
        <v>36</v>
      </c>
      <c r="H74" s="1" t="s">
        <v>31</v>
      </c>
      <c r="I74" s="1" t="s">
        <v>19</v>
      </c>
      <c r="J74" s="1">
        <v>17950</v>
      </c>
      <c r="K74" s="1">
        <v>20</v>
      </c>
      <c r="L74" s="1">
        <v>63</v>
      </c>
      <c r="M74" s="7">
        <f>Table1[[#This Row],[Tuition Fee (拢)]]/Table1[[#This Row],[Credits]]</f>
        <v>897.5</v>
      </c>
    </row>
    <row r="75" spans="1:13">
      <c r="A75" s="2">
        <v>44618</v>
      </c>
      <c r="B75" s="1" t="s">
        <v>147</v>
      </c>
      <c r="C75" s="1" t="s">
        <v>13</v>
      </c>
      <c r="D75" s="1" t="s">
        <v>14</v>
      </c>
      <c r="E75" s="1" t="s">
        <v>44</v>
      </c>
      <c r="F75" s="1" t="s">
        <v>60</v>
      </c>
      <c r="G75" s="1" t="s">
        <v>36</v>
      </c>
      <c r="H75" s="1" t="s">
        <v>18</v>
      </c>
      <c r="I75" s="1" t="s">
        <v>19</v>
      </c>
      <c r="J75" s="1">
        <v>16218</v>
      </c>
      <c r="K75" s="1">
        <v>15</v>
      </c>
      <c r="L75" s="1">
        <v>80</v>
      </c>
      <c r="M75" s="7">
        <f>Table1[[#This Row],[Tuition Fee (拢)]]/Table1[[#This Row],[Credits]]</f>
        <v>1081.2</v>
      </c>
    </row>
    <row r="76" spans="1:13">
      <c r="A76" s="2">
        <v>45343</v>
      </c>
      <c r="B76" s="1" t="s">
        <v>148</v>
      </c>
      <c r="C76" s="1" t="s">
        <v>149</v>
      </c>
      <c r="D76" s="1" t="s">
        <v>150</v>
      </c>
      <c r="E76" s="1" t="s">
        <v>15</v>
      </c>
      <c r="F76" s="1" t="s">
        <v>128</v>
      </c>
      <c r="G76" s="1" t="s">
        <v>36</v>
      </c>
      <c r="H76" s="1" t="s">
        <v>31</v>
      </c>
      <c r="I76" s="1" t="s">
        <v>32</v>
      </c>
      <c r="J76" s="1">
        <v>10382</v>
      </c>
      <c r="K76" s="1">
        <v>30</v>
      </c>
      <c r="L76" s="1">
        <v>60</v>
      </c>
      <c r="M76" s="7">
        <f>Table1[[#This Row],[Tuition Fee (拢)]]/Table1[[#This Row],[Credits]]</f>
        <v>346.06666666666666</v>
      </c>
    </row>
    <row r="77" spans="1:13">
      <c r="A77" s="2">
        <v>44571</v>
      </c>
      <c r="B77" s="1" t="s">
        <v>151</v>
      </c>
      <c r="C77" s="1" t="s">
        <v>13</v>
      </c>
      <c r="D77" s="1" t="s">
        <v>14</v>
      </c>
      <c r="E77" s="1" t="s">
        <v>34</v>
      </c>
      <c r="F77" s="1" t="s">
        <v>83</v>
      </c>
      <c r="G77" s="1" t="s">
        <v>36</v>
      </c>
      <c r="H77" s="1" t="s">
        <v>18</v>
      </c>
      <c r="I77" s="1" t="s">
        <v>32</v>
      </c>
      <c r="J77" s="1">
        <v>10142</v>
      </c>
      <c r="K77" s="1">
        <v>15</v>
      </c>
      <c r="L77" s="1">
        <v>50</v>
      </c>
      <c r="M77" s="7">
        <f>Table1[[#This Row],[Tuition Fee (拢)]]/Table1[[#This Row],[Credits]]</f>
        <v>676.13333333333333</v>
      </c>
    </row>
    <row r="78" spans="1:13">
      <c r="A78" s="2">
        <v>44751</v>
      </c>
      <c r="B78" s="1" t="s">
        <v>152</v>
      </c>
      <c r="C78" s="1" t="s">
        <v>13</v>
      </c>
      <c r="D78" s="1" t="s">
        <v>14</v>
      </c>
      <c r="E78" s="1" t="s">
        <v>34</v>
      </c>
      <c r="F78" s="1" t="s">
        <v>83</v>
      </c>
      <c r="G78" s="1" t="s">
        <v>17</v>
      </c>
      <c r="H78" s="1" t="s">
        <v>18</v>
      </c>
      <c r="I78" s="1" t="s">
        <v>32</v>
      </c>
      <c r="J78" s="1">
        <v>9750</v>
      </c>
      <c r="K78" s="1">
        <v>10</v>
      </c>
      <c r="L78" s="1">
        <v>78</v>
      </c>
      <c r="M78" s="7">
        <f>Table1[[#This Row],[Tuition Fee (拢)]]/Table1[[#This Row],[Credits]]</f>
        <v>975</v>
      </c>
    </row>
    <row r="79" spans="1:13">
      <c r="A79" s="2">
        <v>45572</v>
      </c>
      <c r="B79" s="1" t="s">
        <v>153</v>
      </c>
      <c r="C79" s="1" t="s">
        <v>154</v>
      </c>
      <c r="D79" s="1" t="s">
        <v>155</v>
      </c>
      <c r="E79" s="1" t="s">
        <v>15</v>
      </c>
      <c r="F79" s="1" t="s">
        <v>128</v>
      </c>
      <c r="G79" s="1" t="s">
        <v>23</v>
      </c>
      <c r="H79" s="1" t="s">
        <v>31</v>
      </c>
      <c r="I79" s="1" t="s">
        <v>32</v>
      </c>
      <c r="J79" s="1">
        <v>10416</v>
      </c>
      <c r="K79" s="1">
        <v>10</v>
      </c>
      <c r="L79" s="1">
        <v>60</v>
      </c>
      <c r="M79" s="7">
        <f>Table1[[#This Row],[Tuition Fee (拢)]]/Table1[[#This Row],[Credits]]</f>
        <v>1041.5999999999999</v>
      </c>
    </row>
    <row r="80" spans="1:13">
      <c r="A80" s="2">
        <v>44996</v>
      </c>
      <c r="B80" s="1" t="s">
        <v>156</v>
      </c>
      <c r="C80" s="1" t="s">
        <v>157</v>
      </c>
      <c r="D80" s="1" t="s">
        <v>158</v>
      </c>
      <c r="E80" s="1" t="s">
        <v>21</v>
      </c>
      <c r="F80" s="1" t="s">
        <v>53</v>
      </c>
      <c r="G80" s="1" t="s">
        <v>36</v>
      </c>
      <c r="H80" s="1" t="s">
        <v>24</v>
      </c>
      <c r="I80" s="1" t="s">
        <v>32</v>
      </c>
      <c r="J80" s="1">
        <v>10640</v>
      </c>
      <c r="K80" s="1">
        <v>20</v>
      </c>
      <c r="L80" s="1">
        <v>67</v>
      </c>
      <c r="M80" s="7">
        <f>Table1[[#This Row],[Tuition Fee (拢)]]/Table1[[#This Row],[Credits]]</f>
        <v>532</v>
      </c>
    </row>
    <row r="81" spans="1:13">
      <c r="A81" s="2">
        <v>44988</v>
      </c>
      <c r="B81" s="1" t="s">
        <v>159</v>
      </c>
      <c r="C81" s="1" t="s">
        <v>99</v>
      </c>
      <c r="D81" s="1" t="s">
        <v>100</v>
      </c>
      <c r="E81" s="1" t="s">
        <v>21</v>
      </c>
      <c r="F81" s="1" t="s">
        <v>40</v>
      </c>
      <c r="G81" s="1" t="s">
        <v>36</v>
      </c>
      <c r="H81" s="1" t="s">
        <v>24</v>
      </c>
      <c r="I81" s="1" t="s">
        <v>19</v>
      </c>
      <c r="J81" s="1">
        <v>16179</v>
      </c>
      <c r="K81" s="1">
        <v>20</v>
      </c>
      <c r="L81" s="1">
        <v>61</v>
      </c>
      <c r="M81" s="7">
        <f>Table1[[#This Row],[Tuition Fee (拢)]]/Table1[[#This Row],[Credits]]</f>
        <v>808.95</v>
      </c>
    </row>
    <row r="82" spans="1:13">
      <c r="A82" s="2">
        <v>45103</v>
      </c>
      <c r="B82" s="1" t="s">
        <v>160</v>
      </c>
      <c r="C82" s="1" t="s">
        <v>13</v>
      </c>
      <c r="D82" s="1" t="s">
        <v>14</v>
      </c>
      <c r="E82" s="1" t="s">
        <v>44</v>
      </c>
      <c r="F82" s="1" t="s">
        <v>108</v>
      </c>
      <c r="G82" s="1" t="s">
        <v>17</v>
      </c>
      <c r="H82" s="1" t="s">
        <v>24</v>
      </c>
      <c r="I82" s="1" t="s">
        <v>19</v>
      </c>
      <c r="J82" s="1">
        <v>13382</v>
      </c>
      <c r="K82" s="1">
        <v>15</v>
      </c>
      <c r="L82" s="1">
        <v>59</v>
      </c>
      <c r="M82" s="7">
        <f>Table1[[#This Row],[Tuition Fee (拢)]]/Table1[[#This Row],[Credits]]</f>
        <v>892.13333333333333</v>
      </c>
    </row>
    <row r="83" spans="1:13">
      <c r="A83" s="2">
        <v>45329</v>
      </c>
      <c r="B83" s="1" t="s">
        <v>161</v>
      </c>
      <c r="C83" s="1" t="s">
        <v>13</v>
      </c>
      <c r="D83" s="1" t="s">
        <v>14</v>
      </c>
      <c r="E83" s="1" t="s">
        <v>34</v>
      </c>
      <c r="F83" s="1" t="s">
        <v>83</v>
      </c>
      <c r="G83" s="1" t="s">
        <v>36</v>
      </c>
      <c r="H83" s="1" t="s">
        <v>31</v>
      </c>
      <c r="I83" s="1" t="s">
        <v>32</v>
      </c>
      <c r="J83" s="1">
        <v>9683</v>
      </c>
      <c r="K83" s="1">
        <v>20</v>
      </c>
      <c r="L83" s="1">
        <v>56</v>
      </c>
      <c r="M83" s="7">
        <f>Table1[[#This Row],[Tuition Fee (拢)]]/Table1[[#This Row],[Credits]]</f>
        <v>484.15</v>
      </c>
    </row>
    <row r="84" spans="1:13">
      <c r="A84" s="2">
        <v>44573</v>
      </c>
      <c r="B84" s="1" t="s">
        <v>162</v>
      </c>
      <c r="C84" s="1" t="s">
        <v>13</v>
      </c>
      <c r="D84" s="1" t="s">
        <v>14</v>
      </c>
      <c r="E84" s="1" t="s">
        <v>34</v>
      </c>
      <c r="F84" s="1" t="s">
        <v>35</v>
      </c>
      <c r="G84" s="1" t="s">
        <v>36</v>
      </c>
      <c r="H84" s="1" t="s">
        <v>18</v>
      </c>
      <c r="I84" s="1" t="s">
        <v>25</v>
      </c>
      <c r="J84" s="1">
        <v>20736</v>
      </c>
      <c r="K84" s="1">
        <v>15</v>
      </c>
      <c r="L84" s="1">
        <v>63</v>
      </c>
      <c r="M84" s="7">
        <f>Table1[[#This Row],[Tuition Fee (拢)]]/Table1[[#This Row],[Credits]]</f>
        <v>1382.4</v>
      </c>
    </row>
    <row r="85" spans="1:13">
      <c r="A85" s="2">
        <v>45124</v>
      </c>
      <c r="B85" s="1" t="s">
        <v>163</v>
      </c>
      <c r="C85" s="1" t="s">
        <v>13</v>
      </c>
      <c r="D85" s="1" t="s">
        <v>14</v>
      </c>
      <c r="E85" s="1" t="s">
        <v>15</v>
      </c>
      <c r="F85" s="1" t="s">
        <v>65</v>
      </c>
      <c r="G85" s="1" t="s">
        <v>17</v>
      </c>
      <c r="H85" s="1" t="s">
        <v>24</v>
      </c>
      <c r="I85" s="1" t="s">
        <v>32</v>
      </c>
      <c r="J85" s="1">
        <v>9483</v>
      </c>
      <c r="K85" s="1">
        <v>15</v>
      </c>
      <c r="L85" s="1">
        <v>52</v>
      </c>
      <c r="M85" s="7">
        <f>Table1[[#This Row],[Tuition Fee (拢)]]/Table1[[#This Row],[Credits]]</f>
        <v>632.20000000000005</v>
      </c>
    </row>
    <row r="86" spans="1:13">
      <c r="A86" s="2">
        <v>44740</v>
      </c>
      <c r="B86" s="1" t="s">
        <v>164</v>
      </c>
      <c r="C86" s="1" t="s">
        <v>13</v>
      </c>
      <c r="D86" s="1" t="s">
        <v>14</v>
      </c>
      <c r="E86" s="1" t="s">
        <v>21</v>
      </c>
      <c r="F86" s="1" t="s">
        <v>22</v>
      </c>
      <c r="G86" s="1" t="s">
        <v>17</v>
      </c>
      <c r="H86" s="1" t="s">
        <v>18</v>
      </c>
      <c r="I86" s="1" t="s">
        <v>25</v>
      </c>
      <c r="J86" s="1">
        <v>16505</v>
      </c>
      <c r="K86" s="1">
        <v>15</v>
      </c>
      <c r="L86" s="1">
        <v>84</v>
      </c>
      <c r="M86" s="7">
        <f>Table1[[#This Row],[Tuition Fee (拢)]]/Table1[[#This Row],[Credits]]</f>
        <v>1100.3333333333333</v>
      </c>
    </row>
    <row r="87" spans="1:13">
      <c r="A87" s="2">
        <v>45191</v>
      </c>
      <c r="B87" s="1" t="s">
        <v>165</v>
      </c>
      <c r="C87" s="1" t="s">
        <v>13</v>
      </c>
      <c r="D87" s="1" t="s">
        <v>14</v>
      </c>
      <c r="E87" s="1" t="s">
        <v>44</v>
      </c>
      <c r="F87" s="1" t="s">
        <v>120</v>
      </c>
      <c r="G87" s="1" t="s">
        <v>23</v>
      </c>
      <c r="H87" s="1" t="s">
        <v>24</v>
      </c>
      <c r="I87" s="1" t="s">
        <v>25</v>
      </c>
      <c r="J87" s="1">
        <v>24536</v>
      </c>
      <c r="K87" s="1">
        <v>15</v>
      </c>
      <c r="L87" s="1">
        <v>72</v>
      </c>
      <c r="M87" s="7">
        <f>Table1[[#This Row],[Tuition Fee (拢)]]/Table1[[#This Row],[Credits]]</f>
        <v>1635.7333333333333</v>
      </c>
    </row>
    <row r="88" spans="1:13">
      <c r="A88" s="2">
        <v>44756</v>
      </c>
      <c r="B88" s="1" t="s">
        <v>166</v>
      </c>
      <c r="C88" s="1" t="s">
        <v>56</v>
      </c>
      <c r="D88" s="1" t="s">
        <v>57</v>
      </c>
      <c r="E88" s="1" t="s">
        <v>34</v>
      </c>
      <c r="F88" s="1" t="s">
        <v>58</v>
      </c>
      <c r="G88" s="1" t="s">
        <v>17</v>
      </c>
      <c r="H88" s="1" t="s">
        <v>18</v>
      </c>
      <c r="I88" s="1" t="s">
        <v>19</v>
      </c>
      <c r="J88" s="1">
        <v>16276</v>
      </c>
      <c r="K88" s="1">
        <v>20</v>
      </c>
      <c r="L88" s="1">
        <v>69</v>
      </c>
      <c r="M88" s="7">
        <f>Table1[[#This Row],[Tuition Fee (拢)]]/Table1[[#This Row],[Credits]]</f>
        <v>813.8</v>
      </c>
    </row>
    <row r="89" spans="1:13">
      <c r="A89" s="2">
        <v>45517</v>
      </c>
      <c r="B89" s="1" t="s">
        <v>167</v>
      </c>
      <c r="C89" s="1" t="s">
        <v>13</v>
      </c>
      <c r="D89" s="1" t="s">
        <v>14</v>
      </c>
      <c r="E89" s="1" t="s">
        <v>34</v>
      </c>
      <c r="F89" s="1" t="s">
        <v>67</v>
      </c>
      <c r="G89" s="1" t="s">
        <v>17</v>
      </c>
      <c r="H89" s="1" t="s">
        <v>31</v>
      </c>
      <c r="I89" s="1" t="s">
        <v>19</v>
      </c>
      <c r="J89" s="1">
        <v>15632</v>
      </c>
      <c r="K89" s="1">
        <v>20</v>
      </c>
      <c r="L89" s="1">
        <v>64</v>
      </c>
      <c r="M89" s="7">
        <f>Table1[[#This Row],[Tuition Fee (拢)]]/Table1[[#This Row],[Credits]]</f>
        <v>781.6</v>
      </c>
    </row>
    <row r="90" spans="1:13">
      <c r="A90" s="2">
        <v>45361</v>
      </c>
      <c r="B90" s="1" t="s">
        <v>168</v>
      </c>
      <c r="C90" s="1" t="s">
        <v>13</v>
      </c>
      <c r="D90" s="1" t="s">
        <v>14</v>
      </c>
      <c r="E90" s="1" t="s">
        <v>15</v>
      </c>
      <c r="F90" s="1" t="s">
        <v>65</v>
      </c>
      <c r="G90" s="1" t="s">
        <v>36</v>
      </c>
      <c r="H90" s="1" t="s">
        <v>31</v>
      </c>
      <c r="I90" s="1" t="s">
        <v>19</v>
      </c>
      <c r="J90" s="1">
        <v>18143</v>
      </c>
      <c r="K90" s="1">
        <v>20</v>
      </c>
      <c r="L90" s="1">
        <v>70</v>
      </c>
      <c r="M90" s="7">
        <f>Table1[[#This Row],[Tuition Fee (拢)]]/Table1[[#This Row],[Credits]]</f>
        <v>907.15</v>
      </c>
    </row>
    <row r="91" spans="1:13">
      <c r="A91" s="2">
        <v>45478</v>
      </c>
      <c r="B91" s="1" t="s">
        <v>169</v>
      </c>
      <c r="C91" s="1" t="s">
        <v>170</v>
      </c>
      <c r="D91" s="1" t="s">
        <v>171</v>
      </c>
      <c r="E91" s="1" t="s">
        <v>21</v>
      </c>
      <c r="F91" s="1" t="s">
        <v>40</v>
      </c>
      <c r="G91" s="1" t="s">
        <v>17</v>
      </c>
      <c r="H91" s="1" t="s">
        <v>31</v>
      </c>
      <c r="I91" s="1" t="s">
        <v>19</v>
      </c>
      <c r="J91" s="1">
        <v>14302</v>
      </c>
      <c r="K91" s="1">
        <v>15</v>
      </c>
      <c r="L91" s="1">
        <v>82</v>
      </c>
      <c r="M91" s="7">
        <f>Table1[[#This Row],[Tuition Fee (拢)]]/Table1[[#This Row],[Credits]]</f>
        <v>953.4666666666667</v>
      </c>
    </row>
    <row r="92" spans="1:13">
      <c r="A92" s="2">
        <v>45197</v>
      </c>
      <c r="B92" s="1" t="s">
        <v>172</v>
      </c>
      <c r="C92" s="1" t="s">
        <v>126</v>
      </c>
      <c r="D92" s="1" t="s">
        <v>127</v>
      </c>
      <c r="E92" s="1" t="s">
        <v>15</v>
      </c>
      <c r="F92" s="1" t="s">
        <v>128</v>
      </c>
      <c r="G92" s="1" t="s">
        <v>23</v>
      </c>
      <c r="H92" s="1" t="s">
        <v>24</v>
      </c>
      <c r="I92" s="1" t="s">
        <v>25</v>
      </c>
      <c r="J92" s="1">
        <v>16776</v>
      </c>
      <c r="K92" s="1">
        <v>20</v>
      </c>
      <c r="L92" s="1">
        <v>89</v>
      </c>
      <c r="M92" s="7">
        <f>Table1[[#This Row],[Tuition Fee (拢)]]/Table1[[#This Row],[Credits]]</f>
        <v>838.8</v>
      </c>
    </row>
    <row r="93" spans="1:13">
      <c r="A93" s="2">
        <v>45365</v>
      </c>
      <c r="B93" s="1" t="s">
        <v>173</v>
      </c>
      <c r="C93" s="1" t="s">
        <v>13</v>
      </c>
      <c r="D93" s="1" t="s">
        <v>14</v>
      </c>
      <c r="E93" s="1" t="s">
        <v>29</v>
      </c>
      <c r="F93" s="1" t="s">
        <v>76</v>
      </c>
      <c r="G93" s="1" t="s">
        <v>36</v>
      </c>
      <c r="H93" s="1" t="s">
        <v>31</v>
      </c>
      <c r="I93" s="1" t="s">
        <v>19</v>
      </c>
      <c r="J93" s="1">
        <v>16429</v>
      </c>
      <c r="K93" s="1">
        <v>15</v>
      </c>
      <c r="L93" s="1">
        <v>77</v>
      </c>
      <c r="M93" s="7">
        <f>Table1[[#This Row],[Tuition Fee (拢)]]/Table1[[#This Row],[Credits]]</f>
        <v>1095.2666666666667</v>
      </c>
    </row>
    <row r="94" spans="1:13">
      <c r="A94" s="2">
        <v>45231</v>
      </c>
      <c r="B94" s="1" t="s">
        <v>174</v>
      </c>
      <c r="C94" s="1" t="s">
        <v>13</v>
      </c>
      <c r="D94" s="1" t="s">
        <v>14</v>
      </c>
      <c r="E94" s="1" t="s">
        <v>15</v>
      </c>
      <c r="F94" s="1" t="s">
        <v>16</v>
      </c>
      <c r="G94" s="1" t="s">
        <v>23</v>
      </c>
      <c r="H94" s="1" t="s">
        <v>24</v>
      </c>
      <c r="I94" s="1" t="s">
        <v>19</v>
      </c>
      <c r="J94" s="1">
        <v>16939</v>
      </c>
      <c r="K94" s="1">
        <v>30</v>
      </c>
      <c r="L94" s="1">
        <v>56</v>
      </c>
      <c r="M94" s="7">
        <f>Table1[[#This Row],[Tuition Fee (拢)]]/Table1[[#This Row],[Credits]]</f>
        <v>564.63333333333333</v>
      </c>
    </row>
    <row r="95" spans="1:13">
      <c r="A95" s="2">
        <v>44878</v>
      </c>
      <c r="B95" s="1" t="s">
        <v>175</v>
      </c>
      <c r="C95" s="1" t="s">
        <v>13</v>
      </c>
      <c r="D95" s="1" t="s">
        <v>14</v>
      </c>
      <c r="E95" s="1" t="s">
        <v>15</v>
      </c>
      <c r="F95" s="1" t="s">
        <v>65</v>
      </c>
      <c r="G95" s="1" t="s">
        <v>23</v>
      </c>
      <c r="H95" s="1" t="s">
        <v>18</v>
      </c>
      <c r="I95" s="1" t="s">
        <v>19</v>
      </c>
      <c r="J95" s="1">
        <v>12480</v>
      </c>
      <c r="K95" s="1">
        <v>15</v>
      </c>
      <c r="L95" s="1">
        <v>67</v>
      </c>
      <c r="M95" s="7">
        <f>Table1[[#This Row],[Tuition Fee (拢)]]/Table1[[#This Row],[Credits]]</f>
        <v>832</v>
      </c>
    </row>
    <row r="96" spans="1:13">
      <c r="A96" s="2">
        <v>45188</v>
      </c>
      <c r="B96" s="1" t="s">
        <v>176</v>
      </c>
      <c r="C96" s="1" t="s">
        <v>13</v>
      </c>
      <c r="D96" s="1" t="s">
        <v>14</v>
      </c>
      <c r="E96" s="1" t="s">
        <v>29</v>
      </c>
      <c r="F96" s="1" t="s">
        <v>62</v>
      </c>
      <c r="G96" s="1" t="s">
        <v>23</v>
      </c>
      <c r="H96" s="1" t="s">
        <v>24</v>
      </c>
      <c r="I96" s="1" t="s">
        <v>19</v>
      </c>
      <c r="J96" s="1">
        <v>19172</v>
      </c>
      <c r="K96" s="1">
        <v>20</v>
      </c>
      <c r="L96" s="1">
        <v>83</v>
      </c>
      <c r="M96" s="7">
        <f>Table1[[#This Row],[Tuition Fee (拢)]]/Table1[[#This Row],[Credits]]</f>
        <v>958.6</v>
      </c>
    </row>
    <row r="97" spans="1:13">
      <c r="A97" s="2">
        <v>45102</v>
      </c>
      <c r="B97" s="1" t="s">
        <v>177</v>
      </c>
      <c r="C97" s="1" t="s">
        <v>13</v>
      </c>
      <c r="D97" s="1" t="s">
        <v>14</v>
      </c>
      <c r="E97" s="1" t="s">
        <v>21</v>
      </c>
      <c r="F97" s="1" t="s">
        <v>81</v>
      </c>
      <c r="G97" s="1" t="s">
        <v>17</v>
      </c>
      <c r="H97" s="1" t="s">
        <v>24</v>
      </c>
      <c r="I97" s="1" t="s">
        <v>25</v>
      </c>
      <c r="J97" s="1">
        <v>21903</v>
      </c>
      <c r="K97" s="1">
        <v>15</v>
      </c>
      <c r="L97" s="1">
        <v>84</v>
      </c>
      <c r="M97" s="7">
        <f>Table1[[#This Row],[Tuition Fee (拢)]]/Table1[[#This Row],[Credits]]</f>
        <v>1460.2</v>
      </c>
    </row>
    <row r="98" spans="1:13">
      <c r="A98" s="2">
        <v>45212</v>
      </c>
      <c r="B98" s="1" t="s">
        <v>178</v>
      </c>
      <c r="C98" s="1" t="s">
        <v>13</v>
      </c>
      <c r="D98" s="1" t="s">
        <v>14</v>
      </c>
      <c r="E98" s="1" t="s">
        <v>29</v>
      </c>
      <c r="F98" s="1" t="s">
        <v>62</v>
      </c>
      <c r="G98" s="1" t="s">
        <v>23</v>
      </c>
      <c r="H98" s="1" t="s">
        <v>24</v>
      </c>
      <c r="I98" s="1" t="s">
        <v>32</v>
      </c>
      <c r="J98" s="1">
        <v>10134</v>
      </c>
      <c r="K98" s="1">
        <v>30</v>
      </c>
      <c r="L98" s="1">
        <v>72</v>
      </c>
      <c r="M98" s="7">
        <f>Table1[[#This Row],[Tuition Fee (拢)]]/Table1[[#This Row],[Credits]]</f>
        <v>337.8</v>
      </c>
    </row>
    <row r="99" spans="1:13">
      <c r="A99" s="2">
        <v>45505</v>
      </c>
      <c r="B99" s="1" t="s">
        <v>179</v>
      </c>
      <c r="C99" s="1" t="s">
        <v>13</v>
      </c>
      <c r="D99" s="1" t="s">
        <v>14</v>
      </c>
      <c r="E99" s="1" t="s">
        <v>15</v>
      </c>
      <c r="F99" s="1" t="s">
        <v>65</v>
      </c>
      <c r="G99" s="1" t="s">
        <v>17</v>
      </c>
      <c r="H99" s="1" t="s">
        <v>31</v>
      </c>
      <c r="I99" s="1" t="s">
        <v>19</v>
      </c>
      <c r="J99" s="1">
        <v>15533</v>
      </c>
      <c r="K99" s="1">
        <v>10</v>
      </c>
      <c r="L99" s="1">
        <v>61</v>
      </c>
      <c r="M99" s="7">
        <f>Table1[[#This Row],[Tuition Fee (拢)]]/Table1[[#This Row],[Credits]]</f>
        <v>1553.3</v>
      </c>
    </row>
    <row r="100" spans="1:13">
      <c r="A100" s="2">
        <v>45000</v>
      </c>
      <c r="B100" s="1" t="s">
        <v>180</v>
      </c>
      <c r="C100" s="1" t="s">
        <v>13</v>
      </c>
      <c r="D100" s="1" t="s">
        <v>14</v>
      </c>
      <c r="E100" s="1" t="s">
        <v>44</v>
      </c>
      <c r="F100" s="1" t="s">
        <v>120</v>
      </c>
      <c r="G100" s="1" t="s">
        <v>36</v>
      </c>
      <c r="H100" s="1" t="s">
        <v>24</v>
      </c>
      <c r="I100" s="1" t="s">
        <v>25</v>
      </c>
      <c r="J100" s="1">
        <v>17027</v>
      </c>
      <c r="K100" s="1">
        <v>30</v>
      </c>
      <c r="L100" s="1">
        <v>61</v>
      </c>
      <c r="M100" s="7">
        <f>Table1[[#This Row],[Tuition Fee (拢)]]/Table1[[#This Row],[Credits]]</f>
        <v>567.56666666666672</v>
      </c>
    </row>
    <row r="101" spans="1:13">
      <c r="A101" s="2">
        <v>45163</v>
      </c>
      <c r="B101" s="1" t="s">
        <v>181</v>
      </c>
      <c r="C101" s="1" t="s">
        <v>13</v>
      </c>
      <c r="D101" s="1" t="s">
        <v>14</v>
      </c>
      <c r="E101" s="1" t="s">
        <v>29</v>
      </c>
      <c r="F101" s="1" t="s">
        <v>47</v>
      </c>
      <c r="G101" s="1" t="s">
        <v>17</v>
      </c>
      <c r="H101" s="1" t="s">
        <v>24</v>
      </c>
      <c r="I101" s="1" t="s">
        <v>32</v>
      </c>
      <c r="J101" s="1">
        <v>9970</v>
      </c>
      <c r="K101" s="1">
        <v>15</v>
      </c>
      <c r="L101" s="1">
        <v>55</v>
      </c>
      <c r="M101" s="7">
        <f>Table1[[#This Row],[Tuition Fee (拢)]]/Table1[[#This Row],[Credits]]</f>
        <v>664.66666666666663</v>
      </c>
    </row>
    <row r="102" spans="1:13">
      <c r="A102" s="2">
        <v>44574</v>
      </c>
      <c r="B102" s="1" t="s">
        <v>182</v>
      </c>
      <c r="C102" s="1" t="s">
        <v>183</v>
      </c>
      <c r="D102" s="1" t="s">
        <v>184</v>
      </c>
      <c r="E102" s="1" t="s">
        <v>44</v>
      </c>
      <c r="F102" s="1" t="s">
        <v>45</v>
      </c>
      <c r="G102" s="1" t="s">
        <v>36</v>
      </c>
      <c r="H102" s="1" t="s">
        <v>18</v>
      </c>
      <c r="I102" s="1" t="s">
        <v>19</v>
      </c>
      <c r="J102" s="1">
        <v>14381</v>
      </c>
      <c r="K102" s="1">
        <v>20</v>
      </c>
      <c r="L102" s="1">
        <v>68</v>
      </c>
      <c r="M102" s="7">
        <f>Table1[[#This Row],[Tuition Fee (拢)]]/Table1[[#This Row],[Credits]]</f>
        <v>719.05</v>
      </c>
    </row>
    <row r="103" spans="1:13">
      <c r="A103" s="2">
        <v>45096</v>
      </c>
      <c r="B103" s="1" t="s">
        <v>185</v>
      </c>
      <c r="C103" s="1" t="s">
        <v>13</v>
      </c>
      <c r="D103" s="1" t="s">
        <v>14</v>
      </c>
      <c r="E103" s="1" t="s">
        <v>34</v>
      </c>
      <c r="F103" s="1" t="s">
        <v>83</v>
      </c>
      <c r="G103" s="1" t="s">
        <v>17</v>
      </c>
      <c r="H103" s="1" t="s">
        <v>24</v>
      </c>
      <c r="I103" s="1" t="s">
        <v>32</v>
      </c>
      <c r="J103" s="1">
        <v>9934</v>
      </c>
      <c r="K103" s="1">
        <v>10</v>
      </c>
      <c r="L103" s="1">
        <v>79</v>
      </c>
      <c r="M103" s="7">
        <f>Table1[[#This Row],[Tuition Fee (拢)]]/Table1[[#This Row],[Credits]]</f>
        <v>993.4</v>
      </c>
    </row>
    <row r="104" spans="1:13">
      <c r="A104" s="2">
        <v>44946</v>
      </c>
      <c r="B104" s="1" t="s">
        <v>186</v>
      </c>
      <c r="C104" s="1" t="s">
        <v>13</v>
      </c>
      <c r="D104" s="1" t="s">
        <v>14</v>
      </c>
      <c r="E104" s="1" t="s">
        <v>44</v>
      </c>
      <c r="F104" s="1" t="s">
        <v>108</v>
      </c>
      <c r="G104" s="1" t="s">
        <v>36</v>
      </c>
      <c r="H104" s="1" t="s">
        <v>24</v>
      </c>
      <c r="I104" s="1" t="s">
        <v>19</v>
      </c>
      <c r="J104" s="1">
        <v>16884</v>
      </c>
      <c r="K104" s="1">
        <v>15</v>
      </c>
      <c r="L104" s="1">
        <v>67</v>
      </c>
      <c r="M104" s="7">
        <f>Table1[[#This Row],[Tuition Fee (拢)]]/Table1[[#This Row],[Credits]]</f>
        <v>1125.5999999999999</v>
      </c>
    </row>
    <row r="105" spans="1:13">
      <c r="A105" s="2">
        <v>45085</v>
      </c>
      <c r="B105" s="1" t="s">
        <v>187</v>
      </c>
      <c r="C105" s="1" t="s">
        <v>13</v>
      </c>
      <c r="D105" s="1" t="s">
        <v>14</v>
      </c>
      <c r="E105" s="1" t="s">
        <v>29</v>
      </c>
      <c r="F105" s="1" t="s">
        <v>76</v>
      </c>
      <c r="G105" s="1" t="s">
        <v>17</v>
      </c>
      <c r="H105" s="1" t="s">
        <v>24</v>
      </c>
      <c r="I105" s="1" t="s">
        <v>19</v>
      </c>
      <c r="J105" s="1">
        <v>13314</v>
      </c>
      <c r="K105" s="1">
        <v>30</v>
      </c>
      <c r="L105" s="1">
        <v>62</v>
      </c>
      <c r="M105" s="7">
        <f>Table1[[#This Row],[Tuition Fee (拢)]]/Table1[[#This Row],[Credits]]</f>
        <v>443.8</v>
      </c>
    </row>
    <row r="106" spans="1:13">
      <c r="A106" s="2">
        <v>45002</v>
      </c>
      <c r="B106" s="1" t="s">
        <v>188</v>
      </c>
      <c r="C106" s="1" t="s">
        <v>78</v>
      </c>
      <c r="D106" s="1" t="s">
        <v>79</v>
      </c>
      <c r="E106" s="1" t="s">
        <v>34</v>
      </c>
      <c r="F106" s="1" t="s">
        <v>58</v>
      </c>
      <c r="G106" s="1" t="s">
        <v>36</v>
      </c>
      <c r="H106" s="1" t="s">
        <v>24</v>
      </c>
      <c r="I106" s="1" t="s">
        <v>25</v>
      </c>
      <c r="J106" s="1">
        <v>24613</v>
      </c>
      <c r="K106" s="1">
        <v>30</v>
      </c>
      <c r="L106" s="1">
        <v>77</v>
      </c>
      <c r="M106" s="7">
        <f>Table1[[#This Row],[Tuition Fee (拢)]]/Table1[[#This Row],[Credits]]</f>
        <v>820.43333333333328</v>
      </c>
    </row>
    <row r="107" spans="1:13">
      <c r="A107" s="2">
        <v>44831</v>
      </c>
      <c r="B107" s="1" t="s">
        <v>189</v>
      </c>
      <c r="C107" s="1" t="s">
        <v>85</v>
      </c>
      <c r="D107" s="1" t="s">
        <v>86</v>
      </c>
      <c r="E107" s="1" t="s">
        <v>44</v>
      </c>
      <c r="F107" s="1" t="s">
        <v>45</v>
      </c>
      <c r="G107" s="1" t="s">
        <v>23</v>
      </c>
      <c r="H107" s="1" t="s">
        <v>18</v>
      </c>
      <c r="I107" s="1" t="s">
        <v>32</v>
      </c>
      <c r="J107" s="1">
        <v>10817</v>
      </c>
      <c r="K107" s="1">
        <v>10</v>
      </c>
      <c r="L107" s="1">
        <v>68</v>
      </c>
      <c r="M107" s="7">
        <f>Table1[[#This Row],[Tuition Fee (拢)]]/Table1[[#This Row],[Credits]]</f>
        <v>1081.7</v>
      </c>
    </row>
    <row r="108" spans="1:13">
      <c r="A108" s="2">
        <v>45574</v>
      </c>
      <c r="B108" s="1" t="s">
        <v>190</v>
      </c>
      <c r="C108" s="1" t="s">
        <v>157</v>
      </c>
      <c r="D108" s="1" t="s">
        <v>158</v>
      </c>
      <c r="E108" s="1" t="s">
        <v>21</v>
      </c>
      <c r="F108" s="1" t="s">
        <v>53</v>
      </c>
      <c r="G108" s="1" t="s">
        <v>23</v>
      </c>
      <c r="H108" s="1" t="s">
        <v>31</v>
      </c>
      <c r="I108" s="1" t="s">
        <v>19</v>
      </c>
      <c r="J108" s="1">
        <v>19886</v>
      </c>
      <c r="K108" s="1">
        <v>30</v>
      </c>
      <c r="L108" s="1">
        <v>75</v>
      </c>
      <c r="M108" s="7">
        <f>Table1[[#This Row],[Tuition Fee (拢)]]/Table1[[#This Row],[Credits]]</f>
        <v>662.86666666666667</v>
      </c>
    </row>
    <row r="109" spans="1:13">
      <c r="A109" s="2">
        <v>44990</v>
      </c>
      <c r="B109" s="1" t="s">
        <v>191</v>
      </c>
      <c r="C109" s="1" t="s">
        <v>56</v>
      </c>
      <c r="D109" s="1" t="s">
        <v>57</v>
      </c>
      <c r="E109" s="1" t="s">
        <v>34</v>
      </c>
      <c r="F109" s="1" t="s">
        <v>58</v>
      </c>
      <c r="G109" s="1" t="s">
        <v>36</v>
      </c>
      <c r="H109" s="1" t="s">
        <v>24</v>
      </c>
      <c r="I109" s="1" t="s">
        <v>19</v>
      </c>
      <c r="J109" s="1">
        <v>16500</v>
      </c>
      <c r="K109" s="1">
        <v>30</v>
      </c>
      <c r="L109" s="1">
        <v>56</v>
      </c>
      <c r="M109" s="7">
        <f>Table1[[#This Row],[Tuition Fee (拢)]]/Table1[[#This Row],[Credits]]</f>
        <v>550</v>
      </c>
    </row>
    <row r="110" spans="1:13">
      <c r="A110" s="2">
        <v>44759</v>
      </c>
      <c r="B110" s="1" t="s">
        <v>192</v>
      </c>
      <c r="C110" s="1" t="s">
        <v>13</v>
      </c>
      <c r="D110" s="1" t="s">
        <v>14</v>
      </c>
      <c r="E110" s="1" t="s">
        <v>29</v>
      </c>
      <c r="F110" s="1" t="s">
        <v>62</v>
      </c>
      <c r="G110" s="1" t="s">
        <v>17</v>
      </c>
      <c r="H110" s="1" t="s">
        <v>18</v>
      </c>
      <c r="I110" s="1" t="s">
        <v>32</v>
      </c>
      <c r="J110" s="1">
        <v>9684</v>
      </c>
      <c r="K110" s="1">
        <v>20</v>
      </c>
      <c r="L110" s="1">
        <v>56</v>
      </c>
      <c r="M110" s="7">
        <f>Table1[[#This Row],[Tuition Fee (拢)]]/Table1[[#This Row],[Credits]]</f>
        <v>484.2</v>
      </c>
    </row>
    <row r="111" spans="1:13">
      <c r="A111" s="2">
        <v>45246</v>
      </c>
      <c r="B111" s="1" t="s">
        <v>193</v>
      </c>
      <c r="C111" s="1" t="s">
        <v>51</v>
      </c>
      <c r="D111" s="1" t="s">
        <v>52</v>
      </c>
      <c r="E111" s="1" t="s">
        <v>21</v>
      </c>
      <c r="F111" s="1" t="s">
        <v>53</v>
      </c>
      <c r="G111" s="1" t="s">
        <v>23</v>
      </c>
      <c r="H111" s="1" t="s">
        <v>24</v>
      </c>
      <c r="I111" s="1" t="s">
        <v>19</v>
      </c>
      <c r="J111" s="1">
        <v>12468</v>
      </c>
      <c r="K111" s="1">
        <v>30</v>
      </c>
      <c r="L111" s="1">
        <v>68</v>
      </c>
      <c r="M111" s="7">
        <f>Table1[[#This Row],[Tuition Fee (拢)]]/Table1[[#This Row],[Credits]]</f>
        <v>415.6</v>
      </c>
    </row>
    <row r="112" spans="1:13">
      <c r="A112" s="2">
        <v>45111</v>
      </c>
      <c r="B112" s="1" t="s">
        <v>194</v>
      </c>
      <c r="C112" s="1" t="s">
        <v>13</v>
      </c>
      <c r="D112" s="1" t="s">
        <v>14</v>
      </c>
      <c r="E112" s="1" t="s">
        <v>21</v>
      </c>
      <c r="F112" s="1" t="s">
        <v>22</v>
      </c>
      <c r="G112" s="1" t="s">
        <v>17</v>
      </c>
      <c r="H112" s="1" t="s">
        <v>24</v>
      </c>
      <c r="I112" s="1" t="s">
        <v>25</v>
      </c>
      <c r="J112" s="1">
        <v>22527</v>
      </c>
      <c r="K112" s="1">
        <v>20</v>
      </c>
      <c r="L112" s="1">
        <v>61</v>
      </c>
      <c r="M112" s="7">
        <f>Table1[[#This Row],[Tuition Fee (拢)]]/Table1[[#This Row],[Credits]]</f>
        <v>1126.3499999999999</v>
      </c>
    </row>
    <row r="113" spans="1:13">
      <c r="A113" s="2">
        <v>44716</v>
      </c>
      <c r="B113" s="1" t="s">
        <v>195</v>
      </c>
      <c r="C113" s="1" t="s">
        <v>13</v>
      </c>
      <c r="D113" s="1" t="s">
        <v>14</v>
      </c>
      <c r="E113" s="1" t="s">
        <v>44</v>
      </c>
      <c r="F113" s="1" t="s">
        <v>60</v>
      </c>
      <c r="G113" s="1" t="s">
        <v>17</v>
      </c>
      <c r="H113" s="1" t="s">
        <v>18</v>
      </c>
      <c r="I113" s="1" t="s">
        <v>25</v>
      </c>
      <c r="J113" s="1">
        <v>18415</v>
      </c>
      <c r="K113" s="1">
        <v>15</v>
      </c>
      <c r="L113" s="1">
        <v>78</v>
      </c>
      <c r="M113" s="7">
        <f>Table1[[#This Row],[Tuition Fee (拢)]]/Table1[[#This Row],[Credits]]</f>
        <v>1227.6666666666667</v>
      </c>
    </row>
    <row r="114" spans="1:13">
      <c r="A114" s="2">
        <v>44948</v>
      </c>
      <c r="B114" s="1" t="s">
        <v>196</v>
      </c>
      <c r="C114" s="1" t="s">
        <v>13</v>
      </c>
      <c r="D114" s="1" t="s">
        <v>14</v>
      </c>
      <c r="E114" s="1" t="s">
        <v>29</v>
      </c>
      <c r="F114" s="1" t="s">
        <v>47</v>
      </c>
      <c r="G114" s="1" t="s">
        <v>36</v>
      </c>
      <c r="H114" s="1" t="s">
        <v>24</v>
      </c>
      <c r="I114" s="1" t="s">
        <v>19</v>
      </c>
      <c r="J114" s="1">
        <v>18980</v>
      </c>
      <c r="K114" s="1">
        <v>20</v>
      </c>
      <c r="L114" s="1">
        <v>61</v>
      </c>
      <c r="M114" s="7">
        <f>Table1[[#This Row],[Tuition Fee (拢)]]/Table1[[#This Row],[Credits]]</f>
        <v>949</v>
      </c>
    </row>
    <row r="115" spans="1:13">
      <c r="A115" s="2">
        <v>45093</v>
      </c>
      <c r="B115" s="1" t="s">
        <v>197</v>
      </c>
      <c r="C115" s="1" t="s">
        <v>13</v>
      </c>
      <c r="D115" s="1" t="s">
        <v>14</v>
      </c>
      <c r="E115" s="1" t="s">
        <v>44</v>
      </c>
      <c r="F115" s="1" t="s">
        <v>108</v>
      </c>
      <c r="G115" s="1" t="s">
        <v>17</v>
      </c>
      <c r="H115" s="1" t="s">
        <v>24</v>
      </c>
      <c r="I115" s="1" t="s">
        <v>25</v>
      </c>
      <c r="J115" s="1">
        <v>20895</v>
      </c>
      <c r="K115" s="1">
        <v>10</v>
      </c>
      <c r="L115" s="1">
        <v>78</v>
      </c>
      <c r="M115" s="7">
        <f>Table1[[#This Row],[Tuition Fee (拢)]]/Table1[[#This Row],[Credits]]</f>
        <v>2089.5</v>
      </c>
    </row>
    <row r="116" spans="1:13">
      <c r="A116" s="2">
        <v>44888</v>
      </c>
      <c r="B116" s="1" t="s">
        <v>198</v>
      </c>
      <c r="C116" s="1" t="s">
        <v>13</v>
      </c>
      <c r="D116" s="1" t="s">
        <v>14</v>
      </c>
      <c r="E116" s="1" t="s">
        <v>34</v>
      </c>
      <c r="F116" s="1" t="s">
        <v>83</v>
      </c>
      <c r="G116" s="1" t="s">
        <v>23</v>
      </c>
      <c r="H116" s="1" t="s">
        <v>18</v>
      </c>
      <c r="I116" s="1" t="s">
        <v>25</v>
      </c>
      <c r="J116" s="1">
        <v>18240</v>
      </c>
      <c r="K116" s="1">
        <v>30</v>
      </c>
      <c r="L116" s="1">
        <v>63</v>
      </c>
      <c r="M116" s="7">
        <f>Table1[[#This Row],[Tuition Fee (拢)]]/Table1[[#This Row],[Credits]]</f>
        <v>608</v>
      </c>
    </row>
    <row r="117" spans="1:13">
      <c r="A117" s="2">
        <v>45170</v>
      </c>
      <c r="B117" s="1" t="s">
        <v>199</v>
      </c>
      <c r="C117" s="1" t="s">
        <v>13</v>
      </c>
      <c r="D117" s="1" t="s">
        <v>14</v>
      </c>
      <c r="E117" s="1" t="s">
        <v>29</v>
      </c>
      <c r="F117" s="1" t="s">
        <v>47</v>
      </c>
      <c r="G117" s="1" t="s">
        <v>23</v>
      </c>
      <c r="H117" s="1" t="s">
        <v>24</v>
      </c>
      <c r="I117" s="1" t="s">
        <v>25</v>
      </c>
      <c r="J117" s="1">
        <v>18462</v>
      </c>
      <c r="K117" s="1">
        <v>30</v>
      </c>
      <c r="L117" s="1">
        <v>78</v>
      </c>
      <c r="M117" s="7">
        <f>Table1[[#This Row],[Tuition Fee (拢)]]/Table1[[#This Row],[Credits]]</f>
        <v>615.4</v>
      </c>
    </row>
    <row r="118" spans="1:13">
      <c r="A118" s="2">
        <v>45572</v>
      </c>
      <c r="B118" s="1" t="s">
        <v>200</v>
      </c>
      <c r="C118" s="1" t="s">
        <v>72</v>
      </c>
      <c r="D118" s="1" t="s">
        <v>73</v>
      </c>
      <c r="E118" s="1" t="s">
        <v>29</v>
      </c>
      <c r="F118" s="1" t="s">
        <v>30</v>
      </c>
      <c r="G118" s="1" t="s">
        <v>23</v>
      </c>
      <c r="H118" s="1" t="s">
        <v>31</v>
      </c>
      <c r="I118" s="1" t="s">
        <v>25</v>
      </c>
      <c r="J118" s="1">
        <v>15495</v>
      </c>
      <c r="K118" s="1">
        <v>15</v>
      </c>
      <c r="L118" s="1">
        <v>65</v>
      </c>
      <c r="M118" s="7">
        <f>Table1[[#This Row],[Tuition Fee (拢)]]/Table1[[#This Row],[Credits]]</f>
        <v>1033</v>
      </c>
    </row>
    <row r="119" spans="1:13">
      <c r="A119" s="2">
        <v>45369</v>
      </c>
      <c r="B119" s="1" t="s">
        <v>201</v>
      </c>
      <c r="C119" s="1" t="s">
        <v>13</v>
      </c>
      <c r="D119" s="1" t="s">
        <v>14</v>
      </c>
      <c r="E119" s="1" t="s">
        <v>44</v>
      </c>
      <c r="F119" s="1" t="s">
        <v>108</v>
      </c>
      <c r="G119" s="1" t="s">
        <v>36</v>
      </c>
      <c r="H119" s="1" t="s">
        <v>31</v>
      </c>
      <c r="I119" s="1" t="s">
        <v>19</v>
      </c>
      <c r="J119" s="1">
        <v>14663</v>
      </c>
      <c r="K119" s="1">
        <v>15</v>
      </c>
      <c r="L119" s="1">
        <v>59</v>
      </c>
      <c r="M119" s="7">
        <f>Table1[[#This Row],[Tuition Fee (拢)]]/Table1[[#This Row],[Credits]]</f>
        <v>977.5333333333333</v>
      </c>
    </row>
    <row r="120" spans="1:13">
      <c r="A120" s="2">
        <v>45521</v>
      </c>
      <c r="B120" s="1" t="s">
        <v>202</v>
      </c>
      <c r="C120" s="1" t="s">
        <v>126</v>
      </c>
      <c r="D120" s="1" t="s">
        <v>127</v>
      </c>
      <c r="E120" s="1" t="s">
        <v>15</v>
      </c>
      <c r="F120" s="1" t="s">
        <v>128</v>
      </c>
      <c r="G120" s="1" t="s">
        <v>17</v>
      </c>
      <c r="H120" s="1" t="s">
        <v>31</v>
      </c>
      <c r="I120" s="1" t="s">
        <v>25</v>
      </c>
      <c r="J120" s="1">
        <v>21656</v>
      </c>
      <c r="K120" s="1">
        <v>30</v>
      </c>
      <c r="L120" s="1">
        <v>87</v>
      </c>
      <c r="M120" s="7">
        <f>Table1[[#This Row],[Tuition Fee (拢)]]/Table1[[#This Row],[Credits]]</f>
        <v>721.86666666666667</v>
      </c>
    </row>
    <row r="121" spans="1:13">
      <c r="A121" s="2">
        <v>45240</v>
      </c>
      <c r="B121" s="1" t="s">
        <v>203</v>
      </c>
      <c r="C121" s="1" t="s">
        <v>42</v>
      </c>
      <c r="D121" s="1" t="s">
        <v>43</v>
      </c>
      <c r="E121" s="1" t="s">
        <v>44</v>
      </c>
      <c r="F121" s="1" t="s">
        <v>45</v>
      </c>
      <c r="G121" s="1" t="s">
        <v>23</v>
      </c>
      <c r="H121" s="1" t="s">
        <v>24</v>
      </c>
      <c r="I121" s="1" t="s">
        <v>19</v>
      </c>
      <c r="J121" s="1">
        <v>19732</v>
      </c>
      <c r="K121" s="1">
        <v>15</v>
      </c>
      <c r="L121" s="1">
        <v>68</v>
      </c>
      <c r="M121" s="7">
        <f>Table1[[#This Row],[Tuition Fee (拢)]]/Table1[[#This Row],[Credits]]</f>
        <v>1315.4666666666667</v>
      </c>
    </row>
    <row r="122" spans="1:13">
      <c r="A122" s="2">
        <v>44974</v>
      </c>
      <c r="B122" s="1" t="s">
        <v>204</v>
      </c>
      <c r="C122" s="1" t="s">
        <v>13</v>
      </c>
      <c r="D122" s="1" t="s">
        <v>14</v>
      </c>
      <c r="E122" s="1" t="s">
        <v>34</v>
      </c>
      <c r="F122" s="1" t="s">
        <v>35</v>
      </c>
      <c r="G122" s="1" t="s">
        <v>36</v>
      </c>
      <c r="H122" s="1" t="s">
        <v>24</v>
      </c>
      <c r="I122" s="1" t="s">
        <v>19</v>
      </c>
      <c r="J122" s="1">
        <v>18552</v>
      </c>
      <c r="K122" s="1">
        <v>10</v>
      </c>
      <c r="L122" s="1">
        <v>80</v>
      </c>
      <c r="M122" s="7">
        <f>Table1[[#This Row],[Tuition Fee (拢)]]/Table1[[#This Row],[Credits]]</f>
        <v>1855.2</v>
      </c>
    </row>
    <row r="123" spans="1:13">
      <c r="A123" s="2">
        <v>44854</v>
      </c>
      <c r="B123" s="1" t="s">
        <v>205</v>
      </c>
      <c r="C123" s="1" t="s">
        <v>56</v>
      </c>
      <c r="D123" s="1" t="s">
        <v>57</v>
      </c>
      <c r="E123" s="1" t="s">
        <v>34</v>
      </c>
      <c r="F123" s="1" t="s">
        <v>58</v>
      </c>
      <c r="G123" s="1" t="s">
        <v>23</v>
      </c>
      <c r="H123" s="1" t="s">
        <v>18</v>
      </c>
      <c r="I123" s="1" t="s">
        <v>32</v>
      </c>
      <c r="J123" s="1">
        <v>9230</v>
      </c>
      <c r="K123" s="1">
        <v>10</v>
      </c>
      <c r="L123" s="1">
        <v>74</v>
      </c>
      <c r="M123" s="7">
        <f>Table1[[#This Row],[Tuition Fee (拢)]]/Table1[[#This Row],[Credits]]</f>
        <v>923</v>
      </c>
    </row>
    <row r="124" spans="1:13">
      <c r="A124" s="2">
        <v>44736</v>
      </c>
      <c r="B124" s="1" t="s">
        <v>206</v>
      </c>
      <c r="C124" s="1" t="s">
        <v>13</v>
      </c>
      <c r="D124" s="1" t="s">
        <v>14</v>
      </c>
      <c r="E124" s="1" t="s">
        <v>34</v>
      </c>
      <c r="F124" s="1" t="s">
        <v>83</v>
      </c>
      <c r="G124" s="1" t="s">
        <v>17</v>
      </c>
      <c r="H124" s="1" t="s">
        <v>18</v>
      </c>
      <c r="I124" s="1" t="s">
        <v>32</v>
      </c>
      <c r="J124" s="1">
        <v>10504</v>
      </c>
      <c r="K124" s="1">
        <v>30</v>
      </c>
      <c r="L124" s="1">
        <v>57</v>
      </c>
      <c r="M124" s="7">
        <f>Table1[[#This Row],[Tuition Fee (拢)]]/Table1[[#This Row],[Credits]]</f>
        <v>350.13333333333333</v>
      </c>
    </row>
    <row r="125" spans="1:13">
      <c r="A125" s="2">
        <v>44891</v>
      </c>
      <c r="B125" s="1" t="s">
        <v>207</v>
      </c>
      <c r="C125" s="1" t="s">
        <v>208</v>
      </c>
      <c r="D125" s="1" t="s">
        <v>209</v>
      </c>
      <c r="E125" s="1" t="s">
        <v>15</v>
      </c>
      <c r="F125" s="1" t="s">
        <v>94</v>
      </c>
      <c r="G125" s="1" t="s">
        <v>23</v>
      </c>
      <c r="H125" s="1" t="s">
        <v>18</v>
      </c>
      <c r="I125" s="1" t="s">
        <v>32</v>
      </c>
      <c r="J125" s="1">
        <v>9458</v>
      </c>
      <c r="K125" s="1">
        <v>30</v>
      </c>
      <c r="L125" s="1">
        <v>63</v>
      </c>
      <c r="M125" s="7">
        <f>Table1[[#This Row],[Tuition Fee (拢)]]/Table1[[#This Row],[Credits]]</f>
        <v>315.26666666666665</v>
      </c>
    </row>
    <row r="126" spans="1:13">
      <c r="A126" s="2">
        <v>45539</v>
      </c>
      <c r="B126" s="1" t="s">
        <v>210</v>
      </c>
      <c r="C126" s="1" t="s">
        <v>13</v>
      </c>
      <c r="D126" s="1" t="s">
        <v>14</v>
      </c>
      <c r="E126" s="1" t="s">
        <v>44</v>
      </c>
      <c r="F126" s="1" t="s">
        <v>60</v>
      </c>
      <c r="G126" s="1" t="s">
        <v>23</v>
      </c>
      <c r="H126" s="1" t="s">
        <v>31</v>
      </c>
      <c r="I126" s="1" t="s">
        <v>32</v>
      </c>
      <c r="J126" s="1">
        <v>10235</v>
      </c>
      <c r="K126" s="1">
        <v>30</v>
      </c>
      <c r="L126" s="1">
        <v>50</v>
      </c>
      <c r="M126" s="7">
        <f>Table1[[#This Row],[Tuition Fee (拢)]]/Table1[[#This Row],[Credits]]</f>
        <v>341.16666666666669</v>
      </c>
    </row>
    <row r="127" spans="1:13">
      <c r="A127" s="2">
        <v>45145</v>
      </c>
      <c r="B127" s="1" t="s">
        <v>211</v>
      </c>
      <c r="C127" s="1" t="s">
        <v>13</v>
      </c>
      <c r="D127" s="1" t="s">
        <v>14</v>
      </c>
      <c r="E127" s="1" t="s">
        <v>44</v>
      </c>
      <c r="F127" s="1" t="s">
        <v>60</v>
      </c>
      <c r="G127" s="1" t="s">
        <v>17</v>
      </c>
      <c r="H127" s="1" t="s">
        <v>24</v>
      </c>
      <c r="I127" s="1" t="s">
        <v>25</v>
      </c>
      <c r="J127" s="1">
        <v>24158</v>
      </c>
      <c r="K127" s="1">
        <v>15</v>
      </c>
      <c r="L127" s="1">
        <v>64</v>
      </c>
      <c r="M127" s="7">
        <f>Table1[[#This Row],[Tuition Fee (拢)]]/Table1[[#This Row],[Credits]]</f>
        <v>1610.5333333333333</v>
      </c>
    </row>
    <row r="128" spans="1:13">
      <c r="A128" s="2">
        <v>45196</v>
      </c>
      <c r="B128" s="1" t="s">
        <v>212</v>
      </c>
      <c r="C128" s="1" t="s">
        <v>13</v>
      </c>
      <c r="D128" s="1" t="s">
        <v>14</v>
      </c>
      <c r="E128" s="1" t="s">
        <v>44</v>
      </c>
      <c r="F128" s="1" t="s">
        <v>108</v>
      </c>
      <c r="G128" s="1" t="s">
        <v>23</v>
      </c>
      <c r="H128" s="1" t="s">
        <v>24</v>
      </c>
      <c r="I128" s="1" t="s">
        <v>19</v>
      </c>
      <c r="J128" s="1">
        <v>13135</v>
      </c>
      <c r="K128" s="1">
        <v>10</v>
      </c>
      <c r="L128" s="1">
        <v>83</v>
      </c>
      <c r="M128" s="7">
        <f>Table1[[#This Row],[Tuition Fee (拢)]]/Table1[[#This Row],[Credits]]</f>
        <v>1313.5</v>
      </c>
    </row>
    <row r="129" spans="1:13">
      <c r="A129" s="2">
        <v>44891</v>
      </c>
      <c r="B129" s="1" t="s">
        <v>213</v>
      </c>
      <c r="C129" s="1" t="s">
        <v>78</v>
      </c>
      <c r="D129" s="1" t="s">
        <v>79</v>
      </c>
      <c r="E129" s="1" t="s">
        <v>34</v>
      </c>
      <c r="F129" s="1" t="s">
        <v>58</v>
      </c>
      <c r="G129" s="1" t="s">
        <v>23</v>
      </c>
      <c r="H129" s="1" t="s">
        <v>18</v>
      </c>
      <c r="I129" s="1" t="s">
        <v>32</v>
      </c>
      <c r="J129" s="1">
        <v>9003</v>
      </c>
      <c r="K129" s="1">
        <v>20</v>
      </c>
      <c r="L129" s="1">
        <v>57</v>
      </c>
      <c r="M129" s="7">
        <f>Table1[[#This Row],[Tuition Fee (拢)]]/Table1[[#This Row],[Credits]]</f>
        <v>450.15</v>
      </c>
    </row>
    <row r="130" spans="1:13">
      <c r="A130" s="2">
        <v>44994</v>
      </c>
      <c r="B130" s="1" t="s">
        <v>214</v>
      </c>
      <c r="C130" s="1" t="s">
        <v>13</v>
      </c>
      <c r="D130" s="1" t="s">
        <v>14</v>
      </c>
      <c r="E130" s="1" t="s">
        <v>15</v>
      </c>
      <c r="F130" s="1" t="s">
        <v>16</v>
      </c>
      <c r="G130" s="1" t="s">
        <v>36</v>
      </c>
      <c r="H130" s="1" t="s">
        <v>24</v>
      </c>
      <c r="I130" s="1" t="s">
        <v>19</v>
      </c>
      <c r="J130" s="1">
        <v>12101</v>
      </c>
      <c r="K130" s="1">
        <v>30</v>
      </c>
      <c r="L130" s="1">
        <v>84</v>
      </c>
      <c r="M130" s="7">
        <f>Table1[[#This Row],[Tuition Fee (拢)]]/Table1[[#This Row],[Credits]]</f>
        <v>403.36666666666667</v>
      </c>
    </row>
    <row r="131" spans="1:13">
      <c r="A131" s="2">
        <v>45139</v>
      </c>
      <c r="B131" s="1" t="s">
        <v>215</v>
      </c>
      <c r="C131" s="1" t="s">
        <v>38</v>
      </c>
      <c r="D131" s="1" t="s">
        <v>39</v>
      </c>
      <c r="E131" s="1" t="s">
        <v>21</v>
      </c>
      <c r="F131" s="1" t="s">
        <v>40</v>
      </c>
      <c r="G131" s="1" t="s">
        <v>17</v>
      </c>
      <c r="H131" s="1" t="s">
        <v>24</v>
      </c>
      <c r="I131" s="1" t="s">
        <v>19</v>
      </c>
      <c r="J131" s="1">
        <v>13145</v>
      </c>
      <c r="K131" s="1">
        <v>20</v>
      </c>
      <c r="L131" s="1">
        <v>73</v>
      </c>
      <c r="M131" s="7">
        <f>Table1[[#This Row],[Tuition Fee (拢)]]/Table1[[#This Row],[Credits]]</f>
        <v>657.25</v>
      </c>
    </row>
    <row r="132" spans="1:13">
      <c r="A132" s="2">
        <v>45104</v>
      </c>
      <c r="B132" s="1" t="s">
        <v>216</v>
      </c>
      <c r="C132" s="1" t="s">
        <v>13</v>
      </c>
      <c r="D132" s="1" t="s">
        <v>14</v>
      </c>
      <c r="E132" s="1" t="s">
        <v>44</v>
      </c>
      <c r="F132" s="1" t="s">
        <v>60</v>
      </c>
      <c r="G132" s="1" t="s">
        <v>17</v>
      </c>
      <c r="H132" s="1" t="s">
        <v>24</v>
      </c>
      <c r="I132" s="1" t="s">
        <v>25</v>
      </c>
      <c r="J132" s="1">
        <v>24894</v>
      </c>
      <c r="K132" s="1">
        <v>20</v>
      </c>
      <c r="L132" s="1">
        <v>83</v>
      </c>
      <c r="M132" s="7">
        <f>Table1[[#This Row],[Tuition Fee (拢)]]/Table1[[#This Row],[Credits]]</f>
        <v>1244.7</v>
      </c>
    </row>
    <row r="133" spans="1:13">
      <c r="A133" s="2">
        <v>45201</v>
      </c>
      <c r="B133" s="1" t="s">
        <v>217</v>
      </c>
      <c r="C133" s="1" t="s">
        <v>85</v>
      </c>
      <c r="D133" s="1" t="s">
        <v>86</v>
      </c>
      <c r="E133" s="1" t="s">
        <v>44</v>
      </c>
      <c r="F133" s="1" t="s">
        <v>45</v>
      </c>
      <c r="G133" s="1" t="s">
        <v>23</v>
      </c>
      <c r="H133" s="1" t="s">
        <v>24</v>
      </c>
      <c r="I133" s="1" t="s">
        <v>19</v>
      </c>
      <c r="J133" s="1">
        <v>13404</v>
      </c>
      <c r="K133" s="1">
        <v>10</v>
      </c>
      <c r="L133" s="1">
        <v>82</v>
      </c>
      <c r="M133" s="7">
        <f>Table1[[#This Row],[Tuition Fee (拢)]]/Table1[[#This Row],[Credits]]</f>
        <v>1340.4</v>
      </c>
    </row>
    <row r="134" spans="1:13">
      <c r="A134" s="2">
        <v>45299</v>
      </c>
      <c r="B134" s="1" t="s">
        <v>218</v>
      </c>
      <c r="C134" s="1" t="s">
        <v>13</v>
      </c>
      <c r="D134" s="1" t="s">
        <v>14</v>
      </c>
      <c r="E134" s="1" t="s">
        <v>34</v>
      </c>
      <c r="F134" s="1" t="s">
        <v>67</v>
      </c>
      <c r="G134" s="1" t="s">
        <v>36</v>
      </c>
      <c r="H134" s="1" t="s">
        <v>31</v>
      </c>
      <c r="I134" s="1" t="s">
        <v>19</v>
      </c>
      <c r="J134" s="1">
        <v>15600</v>
      </c>
      <c r="K134" s="1">
        <v>30</v>
      </c>
      <c r="L134" s="1">
        <v>79</v>
      </c>
      <c r="M134" s="7">
        <f>Table1[[#This Row],[Tuition Fee (拢)]]/Table1[[#This Row],[Credits]]</f>
        <v>520</v>
      </c>
    </row>
    <row r="135" spans="1:13">
      <c r="A135" s="2">
        <v>45347</v>
      </c>
      <c r="B135" s="1" t="s">
        <v>219</v>
      </c>
      <c r="C135" s="1" t="s">
        <v>13</v>
      </c>
      <c r="D135" s="1" t="s">
        <v>14</v>
      </c>
      <c r="E135" s="1" t="s">
        <v>34</v>
      </c>
      <c r="F135" s="1" t="s">
        <v>83</v>
      </c>
      <c r="G135" s="1" t="s">
        <v>36</v>
      </c>
      <c r="H135" s="1" t="s">
        <v>31</v>
      </c>
      <c r="I135" s="1" t="s">
        <v>32</v>
      </c>
      <c r="J135" s="1">
        <v>9009</v>
      </c>
      <c r="K135" s="1">
        <v>30</v>
      </c>
      <c r="L135" s="1">
        <v>63</v>
      </c>
      <c r="M135" s="7">
        <f>Table1[[#This Row],[Tuition Fee (拢)]]/Table1[[#This Row],[Credits]]</f>
        <v>300.3</v>
      </c>
    </row>
    <row r="136" spans="1:13">
      <c r="A136" s="2">
        <v>45112</v>
      </c>
      <c r="B136" s="1" t="s">
        <v>220</v>
      </c>
      <c r="C136" s="1" t="s">
        <v>13</v>
      </c>
      <c r="D136" s="1" t="s">
        <v>14</v>
      </c>
      <c r="E136" s="1" t="s">
        <v>21</v>
      </c>
      <c r="F136" s="1" t="s">
        <v>22</v>
      </c>
      <c r="G136" s="1" t="s">
        <v>17</v>
      </c>
      <c r="H136" s="1" t="s">
        <v>24</v>
      </c>
      <c r="I136" s="1" t="s">
        <v>19</v>
      </c>
      <c r="J136" s="1">
        <v>14181</v>
      </c>
      <c r="K136" s="1">
        <v>30</v>
      </c>
      <c r="L136" s="1">
        <v>82</v>
      </c>
      <c r="M136" s="7">
        <f>Table1[[#This Row],[Tuition Fee (拢)]]/Table1[[#This Row],[Credits]]</f>
        <v>472.7</v>
      </c>
    </row>
    <row r="137" spans="1:13">
      <c r="A137" s="2">
        <v>44586</v>
      </c>
      <c r="B137" s="1" t="s">
        <v>221</v>
      </c>
      <c r="C137" s="1" t="s">
        <v>208</v>
      </c>
      <c r="D137" s="1" t="s">
        <v>209</v>
      </c>
      <c r="E137" s="1" t="s">
        <v>15</v>
      </c>
      <c r="F137" s="1" t="s">
        <v>94</v>
      </c>
      <c r="G137" s="1" t="s">
        <v>36</v>
      </c>
      <c r="H137" s="1" t="s">
        <v>18</v>
      </c>
      <c r="I137" s="1" t="s">
        <v>32</v>
      </c>
      <c r="J137" s="1">
        <v>9975</v>
      </c>
      <c r="K137" s="1">
        <v>15</v>
      </c>
      <c r="L137" s="1">
        <v>69</v>
      </c>
      <c r="M137" s="7">
        <f>Table1[[#This Row],[Tuition Fee (拢)]]/Table1[[#This Row],[Credits]]</f>
        <v>665</v>
      </c>
    </row>
    <row r="138" spans="1:13">
      <c r="A138" s="2">
        <v>45179</v>
      </c>
      <c r="B138" s="1" t="s">
        <v>222</v>
      </c>
      <c r="C138" s="1" t="s">
        <v>13</v>
      </c>
      <c r="D138" s="1" t="s">
        <v>14</v>
      </c>
      <c r="E138" s="1" t="s">
        <v>29</v>
      </c>
      <c r="F138" s="1" t="s">
        <v>62</v>
      </c>
      <c r="G138" s="1" t="s">
        <v>23</v>
      </c>
      <c r="H138" s="1" t="s">
        <v>24</v>
      </c>
      <c r="I138" s="1" t="s">
        <v>25</v>
      </c>
      <c r="J138" s="1">
        <v>15030</v>
      </c>
      <c r="K138" s="1">
        <v>30</v>
      </c>
      <c r="L138" s="1">
        <v>60</v>
      </c>
      <c r="M138" s="7">
        <f>Table1[[#This Row],[Tuition Fee (拢)]]/Table1[[#This Row],[Credits]]</f>
        <v>501</v>
      </c>
    </row>
    <row r="139" spans="1:13">
      <c r="A139" s="2">
        <v>45608</v>
      </c>
      <c r="B139" s="1" t="s">
        <v>223</v>
      </c>
      <c r="C139" s="1" t="s">
        <v>13</v>
      </c>
      <c r="D139" s="1" t="s">
        <v>14</v>
      </c>
      <c r="E139" s="1" t="s">
        <v>34</v>
      </c>
      <c r="F139" s="1" t="s">
        <v>35</v>
      </c>
      <c r="G139" s="1" t="s">
        <v>23</v>
      </c>
      <c r="H139" s="1" t="s">
        <v>31</v>
      </c>
      <c r="I139" s="1" t="s">
        <v>25</v>
      </c>
      <c r="J139" s="1">
        <v>16223</v>
      </c>
      <c r="K139" s="1">
        <v>15</v>
      </c>
      <c r="L139" s="1">
        <v>72</v>
      </c>
      <c r="M139" s="7">
        <f>Table1[[#This Row],[Tuition Fee (拢)]]/Table1[[#This Row],[Credits]]</f>
        <v>1081.5333333333333</v>
      </c>
    </row>
    <row r="140" spans="1:13">
      <c r="A140" s="2">
        <v>45145</v>
      </c>
      <c r="B140" s="1" t="s">
        <v>224</v>
      </c>
      <c r="C140" s="1" t="s">
        <v>13</v>
      </c>
      <c r="D140" s="1" t="s">
        <v>14</v>
      </c>
      <c r="E140" s="1" t="s">
        <v>15</v>
      </c>
      <c r="F140" s="1" t="s">
        <v>16</v>
      </c>
      <c r="G140" s="1" t="s">
        <v>17</v>
      </c>
      <c r="H140" s="1" t="s">
        <v>24</v>
      </c>
      <c r="I140" s="1" t="s">
        <v>25</v>
      </c>
      <c r="J140" s="1">
        <v>16148</v>
      </c>
      <c r="K140" s="1">
        <v>10</v>
      </c>
      <c r="L140" s="1">
        <v>88</v>
      </c>
      <c r="M140" s="7">
        <f>Table1[[#This Row],[Tuition Fee (拢)]]/Table1[[#This Row],[Credits]]</f>
        <v>1614.8</v>
      </c>
    </row>
    <row r="141" spans="1:13">
      <c r="A141" s="2">
        <v>45513</v>
      </c>
      <c r="B141" s="1" t="s">
        <v>225</v>
      </c>
      <c r="C141" s="1" t="s">
        <v>13</v>
      </c>
      <c r="D141" s="1" t="s">
        <v>14</v>
      </c>
      <c r="E141" s="1" t="s">
        <v>15</v>
      </c>
      <c r="F141" s="1" t="s">
        <v>16</v>
      </c>
      <c r="G141" s="1" t="s">
        <v>17</v>
      </c>
      <c r="H141" s="1" t="s">
        <v>31</v>
      </c>
      <c r="I141" s="1" t="s">
        <v>32</v>
      </c>
      <c r="J141" s="1">
        <v>10192</v>
      </c>
      <c r="K141" s="1">
        <v>30</v>
      </c>
      <c r="L141" s="1">
        <v>61</v>
      </c>
      <c r="M141" s="7">
        <f>Table1[[#This Row],[Tuition Fee (拢)]]/Table1[[#This Row],[Credits]]</f>
        <v>339.73333333333335</v>
      </c>
    </row>
    <row r="142" spans="1:13">
      <c r="A142" s="2">
        <v>45538</v>
      </c>
      <c r="B142" s="1" t="s">
        <v>226</v>
      </c>
      <c r="C142" s="1" t="s">
        <v>13</v>
      </c>
      <c r="D142" s="1" t="s">
        <v>14</v>
      </c>
      <c r="E142" s="1" t="s">
        <v>21</v>
      </c>
      <c r="F142" s="1" t="s">
        <v>81</v>
      </c>
      <c r="G142" s="1" t="s">
        <v>23</v>
      </c>
      <c r="H142" s="1" t="s">
        <v>31</v>
      </c>
      <c r="I142" s="1" t="s">
        <v>19</v>
      </c>
      <c r="J142" s="1">
        <v>19823</v>
      </c>
      <c r="K142" s="1">
        <v>20</v>
      </c>
      <c r="L142" s="1">
        <v>71</v>
      </c>
      <c r="M142" s="7">
        <f>Table1[[#This Row],[Tuition Fee (拢)]]/Table1[[#This Row],[Credits]]</f>
        <v>991.15</v>
      </c>
    </row>
    <row r="143" spans="1:13">
      <c r="A143" s="2">
        <v>45619</v>
      </c>
      <c r="B143" s="1" t="s">
        <v>227</v>
      </c>
      <c r="C143" s="1" t="s">
        <v>13</v>
      </c>
      <c r="D143" s="1" t="s">
        <v>14</v>
      </c>
      <c r="E143" s="1" t="s">
        <v>34</v>
      </c>
      <c r="F143" s="1" t="s">
        <v>83</v>
      </c>
      <c r="G143" s="1" t="s">
        <v>23</v>
      </c>
      <c r="H143" s="1" t="s">
        <v>31</v>
      </c>
      <c r="I143" s="1" t="s">
        <v>32</v>
      </c>
      <c r="J143" s="1">
        <v>10618</v>
      </c>
      <c r="K143" s="1">
        <v>10</v>
      </c>
      <c r="L143" s="1">
        <v>53</v>
      </c>
      <c r="M143" s="7">
        <f>Table1[[#This Row],[Tuition Fee (拢)]]/Table1[[#This Row],[Credits]]</f>
        <v>1061.8</v>
      </c>
    </row>
    <row r="144" spans="1:13">
      <c r="A144" s="2">
        <v>45306</v>
      </c>
      <c r="B144" s="1" t="s">
        <v>228</v>
      </c>
      <c r="C144" s="1" t="s">
        <v>72</v>
      </c>
      <c r="D144" s="1" t="s">
        <v>73</v>
      </c>
      <c r="E144" s="1" t="s">
        <v>29</v>
      </c>
      <c r="F144" s="1" t="s">
        <v>30</v>
      </c>
      <c r="G144" s="1" t="s">
        <v>36</v>
      </c>
      <c r="H144" s="1" t="s">
        <v>31</v>
      </c>
      <c r="I144" s="1" t="s">
        <v>32</v>
      </c>
      <c r="J144" s="1">
        <v>9420</v>
      </c>
      <c r="K144" s="1">
        <v>20</v>
      </c>
      <c r="L144" s="1">
        <v>59</v>
      </c>
      <c r="M144" s="7">
        <f>Table1[[#This Row],[Tuition Fee (拢)]]/Table1[[#This Row],[Credits]]</f>
        <v>471</v>
      </c>
    </row>
    <row r="145" spans="1:13">
      <c r="A145" s="2">
        <v>44849</v>
      </c>
      <c r="B145" s="1" t="s">
        <v>229</v>
      </c>
      <c r="C145" s="1" t="s">
        <v>149</v>
      </c>
      <c r="D145" s="1" t="s">
        <v>150</v>
      </c>
      <c r="E145" s="1" t="s">
        <v>15</v>
      </c>
      <c r="F145" s="1" t="s">
        <v>128</v>
      </c>
      <c r="G145" s="1" t="s">
        <v>23</v>
      </c>
      <c r="H145" s="1" t="s">
        <v>18</v>
      </c>
      <c r="I145" s="1" t="s">
        <v>19</v>
      </c>
      <c r="J145" s="1">
        <v>18527</v>
      </c>
      <c r="K145" s="1">
        <v>15</v>
      </c>
      <c r="L145" s="1">
        <v>83</v>
      </c>
      <c r="M145" s="7">
        <f>Table1[[#This Row],[Tuition Fee (拢)]]/Table1[[#This Row],[Credits]]</f>
        <v>1235.1333333333334</v>
      </c>
    </row>
    <row r="146" spans="1:13">
      <c r="A146" s="2">
        <v>44890</v>
      </c>
      <c r="B146" s="1" t="s">
        <v>230</v>
      </c>
      <c r="C146" s="1" t="s">
        <v>13</v>
      </c>
      <c r="D146" s="1" t="s">
        <v>14</v>
      </c>
      <c r="E146" s="1" t="s">
        <v>34</v>
      </c>
      <c r="F146" s="1" t="s">
        <v>35</v>
      </c>
      <c r="G146" s="1" t="s">
        <v>23</v>
      </c>
      <c r="H146" s="1" t="s">
        <v>18</v>
      </c>
      <c r="I146" s="1" t="s">
        <v>25</v>
      </c>
      <c r="J146" s="1">
        <v>17458</v>
      </c>
      <c r="K146" s="1">
        <v>10</v>
      </c>
      <c r="L146" s="1">
        <v>67</v>
      </c>
      <c r="M146" s="7">
        <f>Table1[[#This Row],[Tuition Fee (拢)]]/Table1[[#This Row],[Credits]]</f>
        <v>1745.8</v>
      </c>
    </row>
    <row r="147" spans="1:13">
      <c r="A147" s="2">
        <v>44585</v>
      </c>
      <c r="B147" s="1" t="s">
        <v>231</v>
      </c>
      <c r="C147" s="1" t="s">
        <v>96</v>
      </c>
      <c r="D147" s="1" t="s">
        <v>97</v>
      </c>
      <c r="E147" s="1" t="s">
        <v>21</v>
      </c>
      <c r="F147" s="1" t="s">
        <v>53</v>
      </c>
      <c r="G147" s="1" t="s">
        <v>36</v>
      </c>
      <c r="H147" s="1" t="s">
        <v>18</v>
      </c>
      <c r="I147" s="1" t="s">
        <v>19</v>
      </c>
      <c r="J147" s="1">
        <v>13940</v>
      </c>
      <c r="K147" s="1">
        <v>30</v>
      </c>
      <c r="L147" s="1">
        <v>70</v>
      </c>
      <c r="M147" s="7">
        <f>Table1[[#This Row],[Tuition Fee (拢)]]/Table1[[#This Row],[Credits]]</f>
        <v>464.66666666666669</v>
      </c>
    </row>
    <row r="148" spans="1:13">
      <c r="A148" s="2">
        <v>45116</v>
      </c>
      <c r="B148" s="1" t="s">
        <v>232</v>
      </c>
      <c r="C148" s="1" t="s">
        <v>126</v>
      </c>
      <c r="D148" s="1" t="s">
        <v>127</v>
      </c>
      <c r="E148" s="1" t="s">
        <v>15</v>
      </c>
      <c r="F148" s="1" t="s">
        <v>128</v>
      </c>
      <c r="G148" s="1" t="s">
        <v>17</v>
      </c>
      <c r="H148" s="1" t="s">
        <v>24</v>
      </c>
      <c r="I148" s="1" t="s">
        <v>19</v>
      </c>
      <c r="J148" s="1">
        <v>16925</v>
      </c>
      <c r="K148" s="1">
        <v>10</v>
      </c>
      <c r="L148" s="1">
        <v>76</v>
      </c>
      <c r="M148" s="7">
        <f>Table1[[#This Row],[Tuition Fee (拢)]]/Table1[[#This Row],[Credits]]</f>
        <v>1692.5</v>
      </c>
    </row>
    <row r="149" spans="1:13">
      <c r="A149" s="2">
        <v>45097</v>
      </c>
      <c r="B149" s="1" t="s">
        <v>233</v>
      </c>
      <c r="C149" s="1" t="s">
        <v>13</v>
      </c>
      <c r="D149" s="1" t="s">
        <v>14</v>
      </c>
      <c r="E149" s="1" t="s">
        <v>29</v>
      </c>
      <c r="F149" s="1" t="s">
        <v>62</v>
      </c>
      <c r="G149" s="1" t="s">
        <v>17</v>
      </c>
      <c r="H149" s="1" t="s">
        <v>24</v>
      </c>
      <c r="I149" s="1" t="s">
        <v>19</v>
      </c>
      <c r="J149" s="1">
        <v>14334</v>
      </c>
      <c r="K149" s="1">
        <v>10</v>
      </c>
      <c r="L149" s="1">
        <v>80</v>
      </c>
      <c r="M149" s="7">
        <f>Table1[[#This Row],[Tuition Fee (拢)]]/Table1[[#This Row],[Credits]]</f>
        <v>1433.4</v>
      </c>
    </row>
    <row r="150" spans="1:13">
      <c r="A150" s="2">
        <v>44849</v>
      </c>
      <c r="B150" s="1" t="s">
        <v>234</v>
      </c>
      <c r="C150" s="1" t="s">
        <v>38</v>
      </c>
      <c r="D150" s="1" t="s">
        <v>39</v>
      </c>
      <c r="E150" s="1" t="s">
        <v>21</v>
      </c>
      <c r="F150" s="1" t="s">
        <v>40</v>
      </c>
      <c r="G150" s="1" t="s">
        <v>23</v>
      </c>
      <c r="H150" s="1" t="s">
        <v>18</v>
      </c>
      <c r="I150" s="1" t="s">
        <v>32</v>
      </c>
      <c r="J150" s="1">
        <v>9251</v>
      </c>
      <c r="K150" s="1">
        <v>15</v>
      </c>
      <c r="L150" s="1">
        <v>79</v>
      </c>
      <c r="M150" s="7">
        <f>Table1[[#This Row],[Tuition Fee (拢)]]/Table1[[#This Row],[Credits]]</f>
        <v>616.73333333333335</v>
      </c>
    </row>
    <row r="151" spans="1:13">
      <c r="A151" s="2">
        <v>45221</v>
      </c>
      <c r="B151" s="1" t="s">
        <v>235</v>
      </c>
      <c r="C151" s="1" t="s">
        <v>13</v>
      </c>
      <c r="D151" s="1" t="s">
        <v>14</v>
      </c>
      <c r="E151" s="1" t="s">
        <v>15</v>
      </c>
      <c r="F151" s="1" t="s">
        <v>65</v>
      </c>
      <c r="G151" s="1" t="s">
        <v>23</v>
      </c>
      <c r="H151" s="1" t="s">
        <v>24</v>
      </c>
      <c r="I151" s="1" t="s">
        <v>19</v>
      </c>
      <c r="J151" s="1">
        <v>16774</v>
      </c>
      <c r="K151" s="1">
        <v>20</v>
      </c>
      <c r="L151" s="1">
        <v>84</v>
      </c>
      <c r="M151" s="7">
        <f>Table1[[#This Row],[Tuition Fee (拢)]]/Table1[[#This Row],[Credits]]</f>
        <v>838.7</v>
      </c>
    </row>
    <row r="152" spans="1:13">
      <c r="A152" s="2">
        <v>44858</v>
      </c>
      <c r="B152" s="1" t="s">
        <v>236</v>
      </c>
      <c r="C152" s="1" t="s">
        <v>13</v>
      </c>
      <c r="D152" s="1" t="s">
        <v>14</v>
      </c>
      <c r="E152" s="1" t="s">
        <v>21</v>
      </c>
      <c r="F152" s="1" t="s">
        <v>81</v>
      </c>
      <c r="G152" s="1" t="s">
        <v>23</v>
      </c>
      <c r="H152" s="1" t="s">
        <v>18</v>
      </c>
      <c r="I152" s="1" t="s">
        <v>32</v>
      </c>
      <c r="J152" s="1">
        <v>9714</v>
      </c>
      <c r="K152" s="1">
        <v>15</v>
      </c>
      <c r="L152" s="1">
        <v>78</v>
      </c>
      <c r="M152" s="7">
        <f>Table1[[#This Row],[Tuition Fee (拢)]]/Table1[[#This Row],[Credits]]</f>
        <v>647.6</v>
      </c>
    </row>
    <row r="153" spans="1:13">
      <c r="A153" s="2">
        <v>44933</v>
      </c>
      <c r="B153" s="1" t="s">
        <v>237</v>
      </c>
      <c r="C153" s="1" t="s">
        <v>13</v>
      </c>
      <c r="D153" s="1" t="s">
        <v>14</v>
      </c>
      <c r="E153" s="1" t="s">
        <v>34</v>
      </c>
      <c r="F153" s="1" t="s">
        <v>67</v>
      </c>
      <c r="G153" s="1" t="s">
        <v>36</v>
      </c>
      <c r="H153" s="1" t="s">
        <v>24</v>
      </c>
      <c r="I153" s="1" t="s">
        <v>32</v>
      </c>
      <c r="J153" s="1">
        <v>9284</v>
      </c>
      <c r="K153" s="1">
        <v>15</v>
      </c>
      <c r="L153" s="1">
        <v>54</v>
      </c>
      <c r="M153" s="7">
        <f>Table1[[#This Row],[Tuition Fee (拢)]]/Table1[[#This Row],[Credits]]</f>
        <v>618.93333333333328</v>
      </c>
    </row>
    <row r="154" spans="1:13">
      <c r="A154" s="2">
        <v>44793</v>
      </c>
      <c r="B154" s="1" t="s">
        <v>238</v>
      </c>
      <c r="C154" s="1" t="s">
        <v>13</v>
      </c>
      <c r="D154" s="1" t="s">
        <v>14</v>
      </c>
      <c r="E154" s="1" t="s">
        <v>44</v>
      </c>
      <c r="F154" s="1" t="s">
        <v>108</v>
      </c>
      <c r="G154" s="1" t="s">
        <v>17</v>
      </c>
      <c r="H154" s="1" t="s">
        <v>18</v>
      </c>
      <c r="I154" s="1" t="s">
        <v>19</v>
      </c>
      <c r="J154" s="1">
        <v>14872</v>
      </c>
      <c r="K154" s="1">
        <v>20</v>
      </c>
      <c r="L154" s="1">
        <v>77</v>
      </c>
      <c r="M154" s="7">
        <f>Table1[[#This Row],[Tuition Fee (拢)]]/Table1[[#This Row],[Credits]]</f>
        <v>743.6</v>
      </c>
    </row>
    <row r="155" spans="1:13">
      <c r="A155" s="2">
        <v>45557</v>
      </c>
      <c r="B155" s="1" t="s">
        <v>239</v>
      </c>
      <c r="C155" s="1" t="s">
        <v>13</v>
      </c>
      <c r="D155" s="1" t="s">
        <v>14</v>
      </c>
      <c r="E155" s="1" t="s">
        <v>29</v>
      </c>
      <c r="F155" s="1" t="s">
        <v>47</v>
      </c>
      <c r="G155" s="1" t="s">
        <v>23</v>
      </c>
      <c r="H155" s="1" t="s">
        <v>31</v>
      </c>
      <c r="I155" s="1" t="s">
        <v>19</v>
      </c>
      <c r="J155" s="1">
        <v>17593</v>
      </c>
      <c r="K155" s="1">
        <v>10</v>
      </c>
      <c r="L155" s="1">
        <v>76</v>
      </c>
      <c r="M155" s="7">
        <f>Table1[[#This Row],[Tuition Fee (拢)]]/Table1[[#This Row],[Credits]]</f>
        <v>1759.3</v>
      </c>
    </row>
    <row r="156" spans="1:13">
      <c r="A156" s="2">
        <v>44969</v>
      </c>
      <c r="B156" s="1" t="s">
        <v>240</v>
      </c>
      <c r="C156" s="1" t="s">
        <v>13</v>
      </c>
      <c r="D156" s="1" t="s">
        <v>14</v>
      </c>
      <c r="E156" s="1" t="s">
        <v>34</v>
      </c>
      <c r="F156" s="1" t="s">
        <v>67</v>
      </c>
      <c r="G156" s="1" t="s">
        <v>36</v>
      </c>
      <c r="H156" s="1" t="s">
        <v>24</v>
      </c>
      <c r="I156" s="1" t="s">
        <v>32</v>
      </c>
      <c r="J156" s="1">
        <v>9728</v>
      </c>
      <c r="K156" s="1">
        <v>20</v>
      </c>
      <c r="L156" s="1">
        <v>73</v>
      </c>
      <c r="M156" s="7">
        <f>Table1[[#This Row],[Tuition Fee (拢)]]/Table1[[#This Row],[Credits]]</f>
        <v>486.4</v>
      </c>
    </row>
    <row r="157" spans="1:13">
      <c r="A157" s="2">
        <v>44735</v>
      </c>
      <c r="B157" s="1" t="s">
        <v>241</v>
      </c>
      <c r="C157" s="1" t="s">
        <v>13</v>
      </c>
      <c r="D157" s="1" t="s">
        <v>14</v>
      </c>
      <c r="E157" s="1" t="s">
        <v>15</v>
      </c>
      <c r="F157" s="1" t="s">
        <v>16</v>
      </c>
      <c r="G157" s="1" t="s">
        <v>17</v>
      </c>
      <c r="H157" s="1" t="s">
        <v>18</v>
      </c>
      <c r="I157" s="1" t="s">
        <v>19</v>
      </c>
      <c r="J157" s="1">
        <v>13934</v>
      </c>
      <c r="K157" s="1">
        <v>20</v>
      </c>
      <c r="L157" s="1">
        <v>78</v>
      </c>
      <c r="M157" s="7">
        <f>Table1[[#This Row],[Tuition Fee (拢)]]/Table1[[#This Row],[Credits]]</f>
        <v>696.7</v>
      </c>
    </row>
    <row r="158" spans="1:13">
      <c r="A158" s="2">
        <v>45012</v>
      </c>
      <c r="B158" s="1" t="s">
        <v>242</v>
      </c>
      <c r="C158" s="1" t="s">
        <v>27</v>
      </c>
      <c r="D158" s="1" t="s">
        <v>28</v>
      </c>
      <c r="E158" s="1" t="s">
        <v>29</v>
      </c>
      <c r="F158" s="1" t="s">
        <v>30</v>
      </c>
      <c r="G158" s="1" t="s">
        <v>36</v>
      </c>
      <c r="H158" s="1" t="s">
        <v>24</v>
      </c>
      <c r="I158" s="1" t="s">
        <v>32</v>
      </c>
      <c r="J158" s="1">
        <v>10931</v>
      </c>
      <c r="K158" s="1">
        <v>30</v>
      </c>
      <c r="L158" s="1">
        <v>72</v>
      </c>
      <c r="M158" s="7">
        <f>Table1[[#This Row],[Tuition Fee (拢)]]/Table1[[#This Row],[Credits]]</f>
        <v>364.36666666666667</v>
      </c>
    </row>
    <row r="159" spans="1:13">
      <c r="A159" s="2">
        <v>44768</v>
      </c>
      <c r="B159" s="1" t="s">
        <v>243</v>
      </c>
      <c r="C159" s="1" t="s">
        <v>13</v>
      </c>
      <c r="D159" s="1" t="s">
        <v>14</v>
      </c>
      <c r="E159" s="1" t="s">
        <v>34</v>
      </c>
      <c r="F159" s="1" t="s">
        <v>35</v>
      </c>
      <c r="G159" s="1" t="s">
        <v>17</v>
      </c>
      <c r="H159" s="1" t="s">
        <v>18</v>
      </c>
      <c r="I159" s="1" t="s">
        <v>32</v>
      </c>
      <c r="J159" s="1">
        <v>9547</v>
      </c>
      <c r="K159" s="1">
        <v>30</v>
      </c>
      <c r="L159" s="1">
        <v>77</v>
      </c>
      <c r="M159" s="7">
        <f>Table1[[#This Row],[Tuition Fee (拢)]]/Table1[[#This Row],[Credits]]</f>
        <v>318.23333333333335</v>
      </c>
    </row>
    <row r="160" spans="1:13">
      <c r="A160" s="2">
        <v>45184</v>
      </c>
      <c r="B160" s="1" t="s">
        <v>244</v>
      </c>
      <c r="C160" s="1" t="s">
        <v>13</v>
      </c>
      <c r="D160" s="1" t="s">
        <v>14</v>
      </c>
      <c r="E160" s="1" t="s">
        <v>21</v>
      </c>
      <c r="F160" s="1" t="s">
        <v>81</v>
      </c>
      <c r="G160" s="1" t="s">
        <v>23</v>
      </c>
      <c r="H160" s="1" t="s">
        <v>24</v>
      </c>
      <c r="I160" s="1" t="s">
        <v>32</v>
      </c>
      <c r="J160" s="1">
        <v>10709</v>
      </c>
      <c r="K160" s="1">
        <v>30</v>
      </c>
      <c r="L160" s="1">
        <v>66</v>
      </c>
      <c r="M160" s="7">
        <f>Table1[[#This Row],[Tuition Fee (拢)]]/Table1[[#This Row],[Credits]]</f>
        <v>356.96666666666664</v>
      </c>
    </row>
    <row r="161" spans="1:13">
      <c r="A161" s="2">
        <v>45083</v>
      </c>
      <c r="B161" s="1" t="s">
        <v>245</v>
      </c>
      <c r="C161" s="1" t="s">
        <v>154</v>
      </c>
      <c r="D161" s="1" t="s">
        <v>155</v>
      </c>
      <c r="E161" s="1" t="s">
        <v>15</v>
      </c>
      <c r="F161" s="1" t="s">
        <v>128</v>
      </c>
      <c r="G161" s="1" t="s">
        <v>17</v>
      </c>
      <c r="H161" s="1" t="s">
        <v>24</v>
      </c>
      <c r="I161" s="1" t="s">
        <v>19</v>
      </c>
      <c r="J161" s="1">
        <v>13404</v>
      </c>
      <c r="K161" s="1">
        <v>10</v>
      </c>
      <c r="L161" s="1">
        <v>67</v>
      </c>
      <c r="M161" s="7">
        <f>Table1[[#This Row],[Tuition Fee (拢)]]/Table1[[#This Row],[Credits]]</f>
        <v>1340.4</v>
      </c>
    </row>
    <row r="162" spans="1:13">
      <c r="A162" s="2">
        <v>45468</v>
      </c>
      <c r="B162" s="1" t="s">
        <v>246</v>
      </c>
      <c r="C162" s="1" t="s">
        <v>13</v>
      </c>
      <c r="D162" s="1" t="s">
        <v>14</v>
      </c>
      <c r="E162" s="1" t="s">
        <v>44</v>
      </c>
      <c r="F162" s="1" t="s">
        <v>120</v>
      </c>
      <c r="G162" s="1" t="s">
        <v>17</v>
      </c>
      <c r="H162" s="1" t="s">
        <v>31</v>
      </c>
      <c r="I162" s="1" t="s">
        <v>32</v>
      </c>
      <c r="J162" s="1">
        <v>10856</v>
      </c>
      <c r="K162" s="1">
        <v>10</v>
      </c>
      <c r="L162" s="1">
        <v>68</v>
      </c>
      <c r="M162" s="7">
        <f>Table1[[#This Row],[Tuition Fee (拢)]]/Table1[[#This Row],[Credits]]</f>
        <v>1085.5999999999999</v>
      </c>
    </row>
    <row r="163" spans="1:13">
      <c r="A163" s="2">
        <v>45217</v>
      </c>
      <c r="B163" s="1" t="s">
        <v>247</v>
      </c>
      <c r="C163" s="1" t="s">
        <v>13</v>
      </c>
      <c r="D163" s="1" t="s">
        <v>14</v>
      </c>
      <c r="E163" s="1" t="s">
        <v>15</v>
      </c>
      <c r="F163" s="1" t="s">
        <v>65</v>
      </c>
      <c r="G163" s="1" t="s">
        <v>23</v>
      </c>
      <c r="H163" s="1" t="s">
        <v>24</v>
      </c>
      <c r="I163" s="1" t="s">
        <v>19</v>
      </c>
      <c r="J163" s="1">
        <v>18938</v>
      </c>
      <c r="K163" s="1">
        <v>30</v>
      </c>
      <c r="L163" s="1">
        <v>77</v>
      </c>
      <c r="M163" s="7">
        <f>Table1[[#This Row],[Tuition Fee (拢)]]/Table1[[#This Row],[Credits]]</f>
        <v>631.26666666666665</v>
      </c>
    </row>
    <row r="164" spans="1:13">
      <c r="A164" s="2">
        <v>45242</v>
      </c>
      <c r="B164" s="1" t="s">
        <v>248</v>
      </c>
      <c r="C164" s="1" t="s">
        <v>13</v>
      </c>
      <c r="D164" s="1" t="s">
        <v>14</v>
      </c>
      <c r="E164" s="1" t="s">
        <v>21</v>
      </c>
      <c r="F164" s="1" t="s">
        <v>22</v>
      </c>
      <c r="G164" s="1" t="s">
        <v>23</v>
      </c>
      <c r="H164" s="1" t="s">
        <v>24</v>
      </c>
      <c r="I164" s="1" t="s">
        <v>25</v>
      </c>
      <c r="J164" s="1">
        <v>16871</v>
      </c>
      <c r="K164" s="1">
        <v>10</v>
      </c>
      <c r="L164" s="1">
        <v>67</v>
      </c>
      <c r="M164" s="7">
        <f>Table1[[#This Row],[Tuition Fee (拢)]]/Table1[[#This Row],[Credits]]</f>
        <v>1687.1</v>
      </c>
    </row>
    <row r="165" spans="1:13">
      <c r="A165" s="2">
        <v>45486</v>
      </c>
      <c r="B165" s="1" t="s">
        <v>249</v>
      </c>
      <c r="C165" s="1" t="s">
        <v>13</v>
      </c>
      <c r="D165" s="1" t="s">
        <v>14</v>
      </c>
      <c r="E165" s="1" t="s">
        <v>29</v>
      </c>
      <c r="F165" s="1" t="s">
        <v>47</v>
      </c>
      <c r="G165" s="1" t="s">
        <v>17</v>
      </c>
      <c r="H165" s="1" t="s">
        <v>31</v>
      </c>
      <c r="I165" s="1" t="s">
        <v>32</v>
      </c>
      <c r="J165" s="1">
        <v>9167</v>
      </c>
      <c r="K165" s="1">
        <v>15</v>
      </c>
      <c r="L165" s="1">
        <v>58</v>
      </c>
      <c r="M165" s="7">
        <f>Table1[[#This Row],[Tuition Fee (拢)]]/Table1[[#This Row],[Credits]]</f>
        <v>611.13333333333333</v>
      </c>
    </row>
    <row r="166" spans="1:13">
      <c r="A166" s="2">
        <v>45460</v>
      </c>
      <c r="B166" s="1" t="s">
        <v>250</v>
      </c>
      <c r="C166" s="1" t="s">
        <v>13</v>
      </c>
      <c r="D166" s="1" t="s">
        <v>14</v>
      </c>
      <c r="E166" s="1" t="s">
        <v>44</v>
      </c>
      <c r="F166" s="1" t="s">
        <v>120</v>
      </c>
      <c r="G166" s="1" t="s">
        <v>17</v>
      </c>
      <c r="H166" s="1" t="s">
        <v>31</v>
      </c>
      <c r="I166" s="1" t="s">
        <v>25</v>
      </c>
      <c r="J166" s="1">
        <v>24632</v>
      </c>
      <c r="K166" s="1">
        <v>15</v>
      </c>
      <c r="L166" s="1">
        <v>89</v>
      </c>
      <c r="M166" s="7">
        <f>Table1[[#This Row],[Tuition Fee (拢)]]/Table1[[#This Row],[Credits]]</f>
        <v>1642.1333333333334</v>
      </c>
    </row>
    <row r="167" spans="1:13">
      <c r="A167" s="2">
        <v>45248</v>
      </c>
      <c r="B167" s="1" t="s">
        <v>251</v>
      </c>
      <c r="C167" s="1" t="s">
        <v>13</v>
      </c>
      <c r="D167" s="1" t="s">
        <v>14</v>
      </c>
      <c r="E167" s="1" t="s">
        <v>21</v>
      </c>
      <c r="F167" s="1" t="s">
        <v>81</v>
      </c>
      <c r="G167" s="1" t="s">
        <v>23</v>
      </c>
      <c r="H167" s="1" t="s">
        <v>24</v>
      </c>
      <c r="I167" s="1" t="s">
        <v>32</v>
      </c>
      <c r="J167" s="1">
        <v>10797</v>
      </c>
      <c r="K167" s="1">
        <v>30</v>
      </c>
      <c r="L167" s="1">
        <v>66</v>
      </c>
      <c r="M167" s="7">
        <f>Table1[[#This Row],[Tuition Fee (拢)]]/Table1[[#This Row],[Credits]]</f>
        <v>359.9</v>
      </c>
    </row>
    <row r="168" spans="1:13">
      <c r="A168" s="2">
        <v>44746</v>
      </c>
      <c r="B168" s="1" t="s">
        <v>252</v>
      </c>
      <c r="C168" s="1" t="s">
        <v>13</v>
      </c>
      <c r="D168" s="1" t="s">
        <v>14</v>
      </c>
      <c r="E168" s="1" t="s">
        <v>29</v>
      </c>
      <c r="F168" s="1" t="s">
        <v>76</v>
      </c>
      <c r="G168" s="1" t="s">
        <v>17</v>
      </c>
      <c r="H168" s="1" t="s">
        <v>18</v>
      </c>
      <c r="I168" s="1" t="s">
        <v>25</v>
      </c>
      <c r="J168" s="1">
        <v>23559</v>
      </c>
      <c r="K168" s="1">
        <v>10</v>
      </c>
      <c r="L168" s="1">
        <v>89</v>
      </c>
      <c r="M168" s="7">
        <f>Table1[[#This Row],[Tuition Fee (拢)]]/Table1[[#This Row],[Credits]]</f>
        <v>2355.9</v>
      </c>
    </row>
    <row r="169" spans="1:13">
      <c r="A169" s="2">
        <v>45085</v>
      </c>
      <c r="B169" s="1" t="s">
        <v>253</v>
      </c>
      <c r="C169" s="1" t="s">
        <v>13</v>
      </c>
      <c r="D169" s="1" t="s">
        <v>14</v>
      </c>
      <c r="E169" s="1" t="s">
        <v>15</v>
      </c>
      <c r="F169" s="1" t="s">
        <v>65</v>
      </c>
      <c r="G169" s="1" t="s">
        <v>17</v>
      </c>
      <c r="H169" s="1" t="s">
        <v>24</v>
      </c>
      <c r="I169" s="1" t="s">
        <v>25</v>
      </c>
      <c r="J169" s="1">
        <v>15491</v>
      </c>
      <c r="K169" s="1">
        <v>30</v>
      </c>
      <c r="L169" s="1">
        <v>84</v>
      </c>
      <c r="M169" s="7">
        <f>Table1[[#This Row],[Tuition Fee (拢)]]/Table1[[#This Row],[Credits]]</f>
        <v>516.36666666666667</v>
      </c>
    </row>
    <row r="170" spans="1:13">
      <c r="A170" s="2">
        <v>45574</v>
      </c>
      <c r="B170" s="1" t="s">
        <v>254</v>
      </c>
      <c r="C170" s="1" t="s">
        <v>208</v>
      </c>
      <c r="D170" s="1" t="s">
        <v>209</v>
      </c>
      <c r="E170" s="1" t="s">
        <v>15</v>
      </c>
      <c r="F170" s="1" t="s">
        <v>94</v>
      </c>
      <c r="G170" s="1" t="s">
        <v>23</v>
      </c>
      <c r="H170" s="1" t="s">
        <v>31</v>
      </c>
      <c r="I170" s="1" t="s">
        <v>32</v>
      </c>
      <c r="J170" s="1">
        <v>10277</v>
      </c>
      <c r="K170" s="1">
        <v>20</v>
      </c>
      <c r="L170" s="1">
        <v>72</v>
      </c>
      <c r="M170" s="7">
        <f>Table1[[#This Row],[Tuition Fee (拢)]]/Table1[[#This Row],[Credits]]</f>
        <v>513.85</v>
      </c>
    </row>
    <row r="171" spans="1:13">
      <c r="A171" s="2">
        <v>45146</v>
      </c>
      <c r="B171" s="1" t="s">
        <v>255</v>
      </c>
      <c r="C171" s="1" t="s">
        <v>13</v>
      </c>
      <c r="D171" s="1" t="s">
        <v>14</v>
      </c>
      <c r="E171" s="1" t="s">
        <v>29</v>
      </c>
      <c r="F171" s="1" t="s">
        <v>76</v>
      </c>
      <c r="G171" s="1" t="s">
        <v>17</v>
      </c>
      <c r="H171" s="1" t="s">
        <v>24</v>
      </c>
      <c r="I171" s="1" t="s">
        <v>19</v>
      </c>
      <c r="J171" s="1">
        <v>13671</v>
      </c>
      <c r="K171" s="1">
        <v>10</v>
      </c>
      <c r="L171" s="1">
        <v>78</v>
      </c>
      <c r="M171" s="7">
        <f>Table1[[#This Row],[Tuition Fee (拢)]]/Table1[[#This Row],[Credits]]</f>
        <v>1367.1</v>
      </c>
    </row>
    <row r="172" spans="1:13">
      <c r="A172" s="2">
        <v>45377</v>
      </c>
      <c r="B172" s="1" t="s">
        <v>256</v>
      </c>
      <c r="C172" s="1" t="s">
        <v>13</v>
      </c>
      <c r="D172" s="1" t="s">
        <v>14</v>
      </c>
      <c r="E172" s="1" t="s">
        <v>34</v>
      </c>
      <c r="F172" s="1" t="s">
        <v>83</v>
      </c>
      <c r="G172" s="1" t="s">
        <v>36</v>
      </c>
      <c r="H172" s="1" t="s">
        <v>31</v>
      </c>
      <c r="I172" s="1" t="s">
        <v>32</v>
      </c>
      <c r="J172" s="1">
        <v>9932</v>
      </c>
      <c r="K172" s="1">
        <v>20</v>
      </c>
      <c r="L172" s="1">
        <v>55</v>
      </c>
      <c r="M172" s="7">
        <f>Table1[[#This Row],[Tuition Fee (拢)]]/Table1[[#This Row],[Credits]]</f>
        <v>496.6</v>
      </c>
    </row>
    <row r="173" spans="1:13">
      <c r="A173" s="2">
        <v>45613</v>
      </c>
      <c r="B173" s="1" t="s">
        <v>257</v>
      </c>
      <c r="C173" s="1" t="s">
        <v>13</v>
      </c>
      <c r="D173" s="1" t="s">
        <v>14</v>
      </c>
      <c r="E173" s="1" t="s">
        <v>15</v>
      </c>
      <c r="F173" s="1" t="s">
        <v>16</v>
      </c>
      <c r="G173" s="1" t="s">
        <v>23</v>
      </c>
      <c r="H173" s="1" t="s">
        <v>31</v>
      </c>
      <c r="I173" s="1" t="s">
        <v>19</v>
      </c>
      <c r="J173" s="1">
        <v>17651</v>
      </c>
      <c r="K173" s="1">
        <v>30</v>
      </c>
      <c r="L173" s="1">
        <v>62</v>
      </c>
      <c r="M173" s="7">
        <f>Table1[[#This Row],[Tuition Fee (拢)]]/Table1[[#This Row],[Credits]]</f>
        <v>588.36666666666667</v>
      </c>
    </row>
    <row r="174" spans="1:13">
      <c r="A174" s="2">
        <v>44932</v>
      </c>
      <c r="B174" s="1" t="s">
        <v>258</v>
      </c>
      <c r="C174" s="1" t="s">
        <v>13</v>
      </c>
      <c r="D174" s="1" t="s">
        <v>14</v>
      </c>
      <c r="E174" s="1" t="s">
        <v>29</v>
      </c>
      <c r="F174" s="1" t="s">
        <v>47</v>
      </c>
      <c r="G174" s="1" t="s">
        <v>36</v>
      </c>
      <c r="H174" s="1" t="s">
        <v>24</v>
      </c>
      <c r="I174" s="1" t="s">
        <v>19</v>
      </c>
      <c r="J174" s="1">
        <v>17196</v>
      </c>
      <c r="K174" s="1">
        <v>15</v>
      </c>
      <c r="L174" s="1">
        <v>73</v>
      </c>
      <c r="M174" s="7">
        <f>Table1[[#This Row],[Tuition Fee (拢)]]/Table1[[#This Row],[Credits]]</f>
        <v>1146.4000000000001</v>
      </c>
    </row>
    <row r="175" spans="1:13">
      <c r="A175" s="2">
        <v>45223</v>
      </c>
      <c r="B175" s="1" t="s">
        <v>259</v>
      </c>
      <c r="C175" s="1" t="s">
        <v>13</v>
      </c>
      <c r="D175" s="1" t="s">
        <v>14</v>
      </c>
      <c r="E175" s="1" t="s">
        <v>29</v>
      </c>
      <c r="F175" s="1" t="s">
        <v>47</v>
      </c>
      <c r="G175" s="1" t="s">
        <v>23</v>
      </c>
      <c r="H175" s="1" t="s">
        <v>24</v>
      </c>
      <c r="I175" s="1" t="s">
        <v>19</v>
      </c>
      <c r="J175" s="1">
        <v>18029</v>
      </c>
      <c r="K175" s="1">
        <v>10</v>
      </c>
      <c r="L175" s="1">
        <v>71</v>
      </c>
      <c r="M175" s="7">
        <f>Table1[[#This Row],[Tuition Fee (拢)]]/Table1[[#This Row],[Credits]]</f>
        <v>1802.9</v>
      </c>
    </row>
    <row r="176" spans="1:13">
      <c r="A176" s="2">
        <v>45150</v>
      </c>
      <c r="B176" s="1" t="s">
        <v>260</v>
      </c>
      <c r="C176" s="1" t="s">
        <v>208</v>
      </c>
      <c r="D176" s="1" t="s">
        <v>209</v>
      </c>
      <c r="E176" s="1" t="s">
        <v>15</v>
      </c>
      <c r="F176" s="1" t="s">
        <v>94</v>
      </c>
      <c r="G176" s="1" t="s">
        <v>17</v>
      </c>
      <c r="H176" s="1" t="s">
        <v>24</v>
      </c>
      <c r="I176" s="1" t="s">
        <v>25</v>
      </c>
      <c r="J176" s="1">
        <v>22603</v>
      </c>
      <c r="K176" s="1">
        <v>10</v>
      </c>
      <c r="L176" s="1">
        <v>86</v>
      </c>
      <c r="M176" s="7">
        <f>Table1[[#This Row],[Tuition Fee (拢)]]/Table1[[#This Row],[Credits]]</f>
        <v>2260.3000000000002</v>
      </c>
    </row>
    <row r="177" spans="1:13">
      <c r="A177" s="2">
        <v>44996</v>
      </c>
      <c r="B177" s="1" t="s">
        <v>261</v>
      </c>
      <c r="C177" s="1" t="s">
        <v>13</v>
      </c>
      <c r="D177" s="1" t="s">
        <v>14</v>
      </c>
      <c r="E177" s="1" t="s">
        <v>15</v>
      </c>
      <c r="F177" s="1" t="s">
        <v>16</v>
      </c>
      <c r="G177" s="1" t="s">
        <v>36</v>
      </c>
      <c r="H177" s="1" t="s">
        <v>24</v>
      </c>
      <c r="I177" s="1" t="s">
        <v>19</v>
      </c>
      <c r="J177" s="1">
        <v>15054</v>
      </c>
      <c r="K177" s="1">
        <v>20</v>
      </c>
      <c r="L177" s="1">
        <v>66</v>
      </c>
      <c r="M177" s="7">
        <f>Table1[[#This Row],[Tuition Fee (拢)]]/Table1[[#This Row],[Credits]]</f>
        <v>752.7</v>
      </c>
    </row>
    <row r="178" spans="1:13">
      <c r="A178" s="2">
        <v>45318</v>
      </c>
      <c r="B178" s="1" t="s">
        <v>262</v>
      </c>
      <c r="C178" s="1" t="s">
        <v>13</v>
      </c>
      <c r="D178" s="1" t="s">
        <v>14</v>
      </c>
      <c r="E178" s="1" t="s">
        <v>29</v>
      </c>
      <c r="F178" s="1" t="s">
        <v>47</v>
      </c>
      <c r="G178" s="1" t="s">
        <v>36</v>
      </c>
      <c r="H178" s="1" t="s">
        <v>31</v>
      </c>
      <c r="I178" s="1" t="s">
        <v>25</v>
      </c>
      <c r="J178" s="1">
        <v>15638</v>
      </c>
      <c r="K178" s="1">
        <v>30</v>
      </c>
      <c r="L178" s="1">
        <v>85</v>
      </c>
      <c r="M178" s="7">
        <f>Table1[[#This Row],[Tuition Fee (拢)]]/Table1[[#This Row],[Credits]]</f>
        <v>521.26666666666665</v>
      </c>
    </row>
    <row r="179" spans="1:13">
      <c r="A179" s="2">
        <v>45312</v>
      </c>
      <c r="B179" s="1" t="s">
        <v>263</v>
      </c>
      <c r="C179" s="1" t="s">
        <v>13</v>
      </c>
      <c r="D179" s="1" t="s">
        <v>14</v>
      </c>
      <c r="E179" s="1" t="s">
        <v>21</v>
      </c>
      <c r="F179" s="1" t="s">
        <v>22</v>
      </c>
      <c r="G179" s="1" t="s">
        <v>36</v>
      </c>
      <c r="H179" s="1" t="s">
        <v>31</v>
      </c>
      <c r="I179" s="1" t="s">
        <v>25</v>
      </c>
      <c r="J179" s="1">
        <v>15837</v>
      </c>
      <c r="K179" s="1">
        <v>20</v>
      </c>
      <c r="L179" s="1">
        <v>88</v>
      </c>
      <c r="M179" s="7">
        <f>Table1[[#This Row],[Tuition Fee (拢)]]/Table1[[#This Row],[Credits]]</f>
        <v>791.85</v>
      </c>
    </row>
    <row r="180" spans="1:13">
      <c r="A180" s="2">
        <v>44599</v>
      </c>
      <c r="B180" s="1" t="s">
        <v>264</v>
      </c>
      <c r="C180" s="1" t="s">
        <v>13</v>
      </c>
      <c r="D180" s="1" t="s">
        <v>14</v>
      </c>
      <c r="E180" s="1" t="s">
        <v>21</v>
      </c>
      <c r="F180" s="1" t="s">
        <v>22</v>
      </c>
      <c r="G180" s="1" t="s">
        <v>36</v>
      </c>
      <c r="H180" s="1" t="s">
        <v>18</v>
      </c>
      <c r="I180" s="1" t="s">
        <v>19</v>
      </c>
      <c r="J180" s="1">
        <v>13015</v>
      </c>
      <c r="K180" s="1">
        <v>30</v>
      </c>
      <c r="L180" s="1">
        <v>77</v>
      </c>
      <c r="M180" s="7">
        <f>Table1[[#This Row],[Tuition Fee (拢)]]/Table1[[#This Row],[Credits]]</f>
        <v>433.83333333333331</v>
      </c>
    </row>
    <row r="181" spans="1:13">
      <c r="A181" s="2">
        <v>45463</v>
      </c>
      <c r="B181" s="1" t="s">
        <v>265</v>
      </c>
      <c r="C181" s="1" t="s">
        <v>13</v>
      </c>
      <c r="D181" s="1" t="s">
        <v>14</v>
      </c>
      <c r="E181" s="1" t="s">
        <v>29</v>
      </c>
      <c r="F181" s="1" t="s">
        <v>62</v>
      </c>
      <c r="G181" s="1" t="s">
        <v>17</v>
      </c>
      <c r="H181" s="1" t="s">
        <v>31</v>
      </c>
      <c r="I181" s="1" t="s">
        <v>32</v>
      </c>
      <c r="J181" s="1">
        <v>9157</v>
      </c>
      <c r="K181" s="1">
        <v>15</v>
      </c>
      <c r="L181" s="1">
        <v>66</v>
      </c>
      <c r="M181" s="7">
        <f>Table1[[#This Row],[Tuition Fee (拢)]]/Table1[[#This Row],[Credits]]</f>
        <v>610.4666666666667</v>
      </c>
    </row>
    <row r="182" spans="1:13">
      <c r="A182" s="2">
        <v>44977</v>
      </c>
      <c r="B182" s="1" t="s">
        <v>266</v>
      </c>
      <c r="C182" s="1" t="s">
        <v>13</v>
      </c>
      <c r="D182" s="1" t="s">
        <v>14</v>
      </c>
      <c r="E182" s="1" t="s">
        <v>15</v>
      </c>
      <c r="F182" s="1" t="s">
        <v>16</v>
      </c>
      <c r="G182" s="1" t="s">
        <v>36</v>
      </c>
      <c r="H182" s="1" t="s">
        <v>24</v>
      </c>
      <c r="I182" s="1" t="s">
        <v>25</v>
      </c>
      <c r="J182" s="1">
        <v>21738</v>
      </c>
      <c r="K182" s="1">
        <v>15</v>
      </c>
      <c r="L182" s="1">
        <v>83</v>
      </c>
      <c r="M182" s="7">
        <f>Table1[[#This Row],[Tuition Fee (拢)]]/Table1[[#This Row],[Credits]]</f>
        <v>1449.2</v>
      </c>
    </row>
    <row r="183" spans="1:13">
      <c r="A183" s="2">
        <v>44928</v>
      </c>
      <c r="B183" s="1" t="s">
        <v>267</v>
      </c>
      <c r="C183" s="1" t="s">
        <v>13</v>
      </c>
      <c r="D183" s="1" t="s">
        <v>14</v>
      </c>
      <c r="E183" s="1" t="s">
        <v>34</v>
      </c>
      <c r="F183" s="1" t="s">
        <v>83</v>
      </c>
      <c r="G183" s="1" t="s">
        <v>36</v>
      </c>
      <c r="H183" s="1" t="s">
        <v>24</v>
      </c>
      <c r="I183" s="1" t="s">
        <v>32</v>
      </c>
      <c r="J183" s="1">
        <v>10574</v>
      </c>
      <c r="K183" s="1">
        <v>20</v>
      </c>
      <c r="L183" s="1">
        <v>65</v>
      </c>
      <c r="M183" s="7">
        <f>Table1[[#This Row],[Tuition Fee (拢)]]/Table1[[#This Row],[Credits]]</f>
        <v>528.70000000000005</v>
      </c>
    </row>
    <row r="184" spans="1:13">
      <c r="A184" s="2">
        <v>45375</v>
      </c>
      <c r="B184" s="1" t="s">
        <v>268</v>
      </c>
      <c r="C184" s="1" t="s">
        <v>13</v>
      </c>
      <c r="D184" s="1" t="s">
        <v>14</v>
      </c>
      <c r="E184" s="1" t="s">
        <v>21</v>
      </c>
      <c r="F184" s="1" t="s">
        <v>81</v>
      </c>
      <c r="G184" s="1" t="s">
        <v>36</v>
      </c>
      <c r="H184" s="1" t="s">
        <v>31</v>
      </c>
      <c r="I184" s="1" t="s">
        <v>25</v>
      </c>
      <c r="J184" s="1">
        <v>20809</v>
      </c>
      <c r="K184" s="1">
        <v>10</v>
      </c>
      <c r="L184" s="1">
        <v>63</v>
      </c>
      <c r="M184" s="7">
        <f>Table1[[#This Row],[Tuition Fee (拢)]]/Table1[[#This Row],[Credits]]</f>
        <v>2080.9</v>
      </c>
    </row>
    <row r="185" spans="1:13">
      <c r="A185" s="2">
        <v>45130</v>
      </c>
      <c r="B185" s="1" t="s">
        <v>269</v>
      </c>
      <c r="C185" s="1" t="s">
        <v>270</v>
      </c>
      <c r="D185" s="1" t="s">
        <v>271</v>
      </c>
      <c r="E185" s="1" t="s">
        <v>15</v>
      </c>
      <c r="F185" s="1" t="s">
        <v>94</v>
      </c>
      <c r="G185" s="1" t="s">
        <v>17</v>
      </c>
      <c r="H185" s="1" t="s">
        <v>24</v>
      </c>
      <c r="I185" s="1" t="s">
        <v>32</v>
      </c>
      <c r="J185" s="1">
        <v>9357</v>
      </c>
      <c r="K185" s="1">
        <v>10</v>
      </c>
      <c r="L185" s="1">
        <v>63</v>
      </c>
      <c r="M185" s="7">
        <f>Table1[[#This Row],[Tuition Fee (拢)]]/Table1[[#This Row],[Credits]]</f>
        <v>935.7</v>
      </c>
    </row>
    <row r="186" spans="1:13">
      <c r="A186" s="2">
        <v>45319</v>
      </c>
      <c r="B186" s="1" t="s">
        <v>272</v>
      </c>
      <c r="C186" s="1" t="s">
        <v>92</v>
      </c>
      <c r="D186" s="1" t="s">
        <v>93</v>
      </c>
      <c r="E186" s="1" t="s">
        <v>15</v>
      </c>
      <c r="F186" s="1" t="s">
        <v>94</v>
      </c>
      <c r="G186" s="1" t="s">
        <v>36</v>
      </c>
      <c r="H186" s="1" t="s">
        <v>31</v>
      </c>
      <c r="I186" s="1" t="s">
        <v>32</v>
      </c>
      <c r="J186" s="1">
        <v>10543</v>
      </c>
      <c r="K186" s="1">
        <v>30</v>
      </c>
      <c r="L186" s="1">
        <v>59</v>
      </c>
      <c r="M186" s="7">
        <f>Table1[[#This Row],[Tuition Fee (拢)]]/Table1[[#This Row],[Credits]]</f>
        <v>351.43333333333334</v>
      </c>
    </row>
    <row r="187" spans="1:13">
      <c r="A187" s="2">
        <v>45121</v>
      </c>
      <c r="B187" s="1" t="s">
        <v>273</v>
      </c>
      <c r="C187" s="1" t="s">
        <v>13</v>
      </c>
      <c r="D187" s="1" t="s">
        <v>14</v>
      </c>
      <c r="E187" s="1" t="s">
        <v>34</v>
      </c>
      <c r="F187" s="1" t="s">
        <v>67</v>
      </c>
      <c r="G187" s="1" t="s">
        <v>17</v>
      </c>
      <c r="H187" s="1" t="s">
        <v>24</v>
      </c>
      <c r="I187" s="1" t="s">
        <v>25</v>
      </c>
      <c r="J187" s="1">
        <v>23347</v>
      </c>
      <c r="K187" s="1">
        <v>30</v>
      </c>
      <c r="L187" s="1">
        <v>74</v>
      </c>
      <c r="M187" s="7">
        <f>Table1[[#This Row],[Tuition Fee (拢)]]/Table1[[#This Row],[Credits]]</f>
        <v>778.23333333333335</v>
      </c>
    </row>
    <row r="188" spans="1:13">
      <c r="A188" s="2">
        <v>44774</v>
      </c>
      <c r="B188" s="1" t="s">
        <v>274</v>
      </c>
      <c r="C188" s="1" t="s">
        <v>13</v>
      </c>
      <c r="D188" s="1" t="s">
        <v>14</v>
      </c>
      <c r="E188" s="1" t="s">
        <v>29</v>
      </c>
      <c r="F188" s="1" t="s">
        <v>62</v>
      </c>
      <c r="G188" s="1" t="s">
        <v>17</v>
      </c>
      <c r="H188" s="1" t="s">
        <v>18</v>
      </c>
      <c r="I188" s="1" t="s">
        <v>25</v>
      </c>
      <c r="J188" s="1">
        <v>16282</v>
      </c>
      <c r="K188" s="1">
        <v>30</v>
      </c>
      <c r="L188" s="1">
        <v>88</v>
      </c>
      <c r="M188" s="7">
        <f>Table1[[#This Row],[Tuition Fee (拢)]]/Table1[[#This Row],[Credits]]</f>
        <v>542.73333333333335</v>
      </c>
    </row>
    <row r="189" spans="1:13">
      <c r="A189" s="2">
        <v>45510</v>
      </c>
      <c r="B189" s="1" t="s">
        <v>275</v>
      </c>
      <c r="C189" s="1" t="s">
        <v>13</v>
      </c>
      <c r="D189" s="1" t="s">
        <v>14</v>
      </c>
      <c r="E189" s="1" t="s">
        <v>34</v>
      </c>
      <c r="F189" s="1" t="s">
        <v>83</v>
      </c>
      <c r="G189" s="1" t="s">
        <v>17</v>
      </c>
      <c r="H189" s="1" t="s">
        <v>31</v>
      </c>
      <c r="I189" s="1" t="s">
        <v>25</v>
      </c>
      <c r="J189" s="1">
        <v>22721</v>
      </c>
      <c r="K189" s="1">
        <v>10</v>
      </c>
      <c r="L189" s="1">
        <v>79</v>
      </c>
      <c r="M189" s="7">
        <f>Table1[[#This Row],[Tuition Fee (拢)]]/Table1[[#This Row],[Credits]]</f>
        <v>2272.1</v>
      </c>
    </row>
    <row r="190" spans="1:13">
      <c r="A190" s="2">
        <v>44588</v>
      </c>
      <c r="B190" s="1" t="s">
        <v>276</v>
      </c>
      <c r="C190" s="1" t="s">
        <v>13</v>
      </c>
      <c r="D190" s="1" t="s">
        <v>14</v>
      </c>
      <c r="E190" s="1" t="s">
        <v>34</v>
      </c>
      <c r="F190" s="1" t="s">
        <v>35</v>
      </c>
      <c r="G190" s="1" t="s">
        <v>36</v>
      </c>
      <c r="H190" s="1" t="s">
        <v>18</v>
      </c>
      <c r="I190" s="1" t="s">
        <v>32</v>
      </c>
      <c r="J190" s="1">
        <v>10710</v>
      </c>
      <c r="K190" s="1">
        <v>15</v>
      </c>
      <c r="L190" s="1">
        <v>79</v>
      </c>
      <c r="M190" s="7">
        <f>Table1[[#This Row],[Tuition Fee (拢)]]/Table1[[#This Row],[Credits]]</f>
        <v>714</v>
      </c>
    </row>
    <row r="191" spans="1:13">
      <c r="A191" s="2">
        <v>44611</v>
      </c>
      <c r="B191" s="1" t="s">
        <v>277</v>
      </c>
      <c r="C191" s="1" t="s">
        <v>278</v>
      </c>
      <c r="D191" s="1" t="s">
        <v>279</v>
      </c>
      <c r="E191" s="1" t="s">
        <v>34</v>
      </c>
      <c r="F191" s="1" t="s">
        <v>58</v>
      </c>
      <c r="G191" s="1" t="s">
        <v>36</v>
      </c>
      <c r="H191" s="1" t="s">
        <v>18</v>
      </c>
      <c r="I191" s="1" t="s">
        <v>32</v>
      </c>
      <c r="J191" s="1">
        <v>9263</v>
      </c>
      <c r="K191" s="1">
        <v>20</v>
      </c>
      <c r="L191" s="1">
        <v>70</v>
      </c>
      <c r="M191" s="7">
        <f>Table1[[#This Row],[Tuition Fee (拢)]]/Table1[[#This Row],[Credits]]</f>
        <v>463.15</v>
      </c>
    </row>
    <row r="192" spans="1:13">
      <c r="A192" s="2">
        <v>45122</v>
      </c>
      <c r="B192" s="1" t="s">
        <v>280</v>
      </c>
      <c r="C192" s="1" t="s">
        <v>157</v>
      </c>
      <c r="D192" s="1" t="s">
        <v>158</v>
      </c>
      <c r="E192" s="1" t="s">
        <v>21</v>
      </c>
      <c r="F192" s="1" t="s">
        <v>53</v>
      </c>
      <c r="G192" s="1" t="s">
        <v>17</v>
      </c>
      <c r="H192" s="1" t="s">
        <v>24</v>
      </c>
      <c r="I192" s="1" t="s">
        <v>19</v>
      </c>
      <c r="J192" s="1">
        <v>18838</v>
      </c>
      <c r="K192" s="1">
        <v>15</v>
      </c>
      <c r="L192" s="1">
        <v>72</v>
      </c>
      <c r="M192" s="7">
        <f>Table1[[#This Row],[Tuition Fee (拢)]]/Table1[[#This Row],[Credits]]</f>
        <v>1255.8666666666666</v>
      </c>
    </row>
    <row r="193" spans="1:13">
      <c r="A193" s="2">
        <v>44621</v>
      </c>
      <c r="B193" s="1" t="s">
        <v>281</v>
      </c>
      <c r="C193" s="1" t="s">
        <v>170</v>
      </c>
      <c r="D193" s="1" t="s">
        <v>171</v>
      </c>
      <c r="E193" s="1" t="s">
        <v>21</v>
      </c>
      <c r="F193" s="1" t="s">
        <v>40</v>
      </c>
      <c r="G193" s="1" t="s">
        <v>36</v>
      </c>
      <c r="H193" s="1" t="s">
        <v>18</v>
      </c>
      <c r="I193" s="1" t="s">
        <v>19</v>
      </c>
      <c r="J193" s="1">
        <v>12305</v>
      </c>
      <c r="K193" s="1">
        <v>15</v>
      </c>
      <c r="L193" s="1">
        <v>67</v>
      </c>
      <c r="M193" s="7">
        <f>Table1[[#This Row],[Tuition Fee (拢)]]/Table1[[#This Row],[Credits]]</f>
        <v>820.33333333333337</v>
      </c>
    </row>
    <row r="194" spans="1:13">
      <c r="A194" s="2">
        <v>45134</v>
      </c>
      <c r="B194" s="1" t="s">
        <v>282</v>
      </c>
      <c r="C194" s="1" t="s">
        <v>13</v>
      </c>
      <c r="D194" s="1" t="s">
        <v>14</v>
      </c>
      <c r="E194" s="1" t="s">
        <v>21</v>
      </c>
      <c r="F194" s="1" t="s">
        <v>81</v>
      </c>
      <c r="G194" s="1" t="s">
        <v>17</v>
      </c>
      <c r="H194" s="1" t="s">
        <v>24</v>
      </c>
      <c r="I194" s="1" t="s">
        <v>19</v>
      </c>
      <c r="J194" s="1">
        <v>19210</v>
      </c>
      <c r="K194" s="1">
        <v>15</v>
      </c>
      <c r="L194" s="1">
        <v>72</v>
      </c>
      <c r="M194" s="7">
        <f>Table1[[#This Row],[Tuition Fee (拢)]]/Table1[[#This Row],[Credits]]</f>
        <v>1280.6666666666667</v>
      </c>
    </row>
    <row r="195" spans="1:13">
      <c r="A195" s="2">
        <v>44978</v>
      </c>
      <c r="B195" s="1" t="s">
        <v>283</v>
      </c>
      <c r="C195" s="1" t="s">
        <v>13</v>
      </c>
      <c r="D195" s="1" t="s">
        <v>14</v>
      </c>
      <c r="E195" s="1" t="s">
        <v>29</v>
      </c>
      <c r="F195" s="1" t="s">
        <v>76</v>
      </c>
      <c r="G195" s="1" t="s">
        <v>36</v>
      </c>
      <c r="H195" s="1" t="s">
        <v>24</v>
      </c>
      <c r="I195" s="1" t="s">
        <v>25</v>
      </c>
      <c r="J195" s="1">
        <v>23280</v>
      </c>
      <c r="K195" s="1">
        <v>10</v>
      </c>
      <c r="L195" s="1">
        <v>84</v>
      </c>
      <c r="M195" s="7">
        <f>Table1[[#This Row],[Tuition Fee (拢)]]/Table1[[#This Row],[Credits]]</f>
        <v>2328</v>
      </c>
    </row>
    <row r="196" spans="1:13">
      <c r="A196" s="2">
        <v>44766</v>
      </c>
      <c r="B196" s="1" t="s">
        <v>284</v>
      </c>
      <c r="C196" s="1" t="s">
        <v>13</v>
      </c>
      <c r="D196" s="1" t="s">
        <v>14</v>
      </c>
      <c r="E196" s="1" t="s">
        <v>29</v>
      </c>
      <c r="F196" s="1" t="s">
        <v>47</v>
      </c>
      <c r="G196" s="1" t="s">
        <v>17</v>
      </c>
      <c r="H196" s="1" t="s">
        <v>18</v>
      </c>
      <c r="I196" s="1" t="s">
        <v>32</v>
      </c>
      <c r="J196" s="1">
        <v>9420</v>
      </c>
      <c r="K196" s="1">
        <v>10</v>
      </c>
      <c r="L196" s="1">
        <v>61</v>
      </c>
      <c r="M196" s="7">
        <f>Table1[[#This Row],[Tuition Fee (拢)]]/Table1[[#This Row],[Credits]]</f>
        <v>942</v>
      </c>
    </row>
    <row r="197" spans="1:13">
      <c r="A197" s="2">
        <v>44611</v>
      </c>
      <c r="B197" s="1" t="s">
        <v>285</v>
      </c>
      <c r="C197" s="1" t="s">
        <v>13</v>
      </c>
      <c r="D197" s="1" t="s">
        <v>14</v>
      </c>
      <c r="E197" s="1" t="s">
        <v>15</v>
      </c>
      <c r="F197" s="1" t="s">
        <v>65</v>
      </c>
      <c r="G197" s="1" t="s">
        <v>36</v>
      </c>
      <c r="H197" s="1" t="s">
        <v>18</v>
      </c>
      <c r="I197" s="1" t="s">
        <v>25</v>
      </c>
      <c r="J197" s="1">
        <v>22521</v>
      </c>
      <c r="K197" s="1">
        <v>30</v>
      </c>
      <c r="L197" s="1">
        <v>71</v>
      </c>
      <c r="M197" s="7">
        <f>Table1[[#This Row],[Tuition Fee (拢)]]/Table1[[#This Row],[Credits]]</f>
        <v>750.7</v>
      </c>
    </row>
    <row r="198" spans="1:13">
      <c r="A198" s="2">
        <v>45505</v>
      </c>
      <c r="B198" s="1" t="s">
        <v>286</v>
      </c>
      <c r="C198" s="1" t="s">
        <v>126</v>
      </c>
      <c r="D198" s="1" t="s">
        <v>127</v>
      </c>
      <c r="E198" s="1" t="s">
        <v>15</v>
      </c>
      <c r="F198" s="1" t="s">
        <v>128</v>
      </c>
      <c r="G198" s="1" t="s">
        <v>17</v>
      </c>
      <c r="H198" s="1" t="s">
        <v>31</v>
      </c>
      <c r="I198" s="1" t="s">
        <v>19</v>
      </c>
      <c r="J198" s="1">
        <v>13070</v>
      </c>
      <c r="K198" s="1">
        <v>10</v>
      </c>
      <c r="L198" s="1">
        <v>70</v>
      </c>
      <c r="M198" s="7">
        <f>Table1[[#This Row],[Tuition Fee (拢)]]/Table1[[#This Row],[Credits]]</f>
        <v>1307</v>
      </c>
    </row>
    <row r="199" spans="1:13">
      <c r="A199" s="2">
        <v>45612</v>
      </c>
      <c r="B199" s="1" t="s">
        <v>287</v>
      </c>
      <c r="C199" s="1" t="s">
        <v>13</v>
      </c>
      <c r="D199" s="1" t="s">
        <v>14</v>
      </c>
      <c r="E199" s="1" t="s">
        <v>21</v>
      </c>
      <c r="F199" s="1" t="s">
        <v>81</v>
      </c>
      <c r="G199" s="1" t="s">
        <v>23</v>
      </c>
      <c r="H199" s="1" t="s">
        <v>31</v>
      </c>
      <c r="I199" s="1" t="s">
        <v>19</v>
      </c>
      <c r="J199" s="1">
        <v>12226</v>
      </c>
      <c r="K199" s="1">
        <v>15</v>
      </c>
      <c r="L199" s="1">
        <v>69</v>
      </c>
      <c r="M199" s="7">
        <f>Table1[[#This Row],[Tuition Fee (拢)]]/Table1[[#This Row],[Credits]]</f>
        <v>815.06666666666672</v>
      </c>
    </row>
    <row r="200" spans="1:13">
      <c r="A200" s="2">
        <v>44872</v>
      </c>
      <c r="B200" s="1" t="s">
        <v>288</v>
      </c>
      <c r="C200" s="1" t="s">
        <v>13</v>
      </c>
      <c r="D200" s="1" t="s">
        <v>14</v>
      </c>
      <c r="E200" s="1" t="s">
        <v>15</v>
      </c>
      <c r="F200" s="1" t="s">
        <v>16</v>
      </c>
      <c r="G200" s="1" t="s">
        <v>23</v>
      </c>
      <c r="H200" s="1" t="s">
        <v>18</v>
      </c>
      <c r="I200" s="1" t="s">
        <v>19</v>
      </c>
      <c r="J200" s="1">
        <v>14621</v>
      </c>
      <c r="K200" s="1">
        <v>15</v>
      </c>
      <c r="L200" s="1">
        <v>81</v>
      </c>
      <c r="M200" s="7">
        <f>Table1[[#This Row],[Tuition Fee (拢)]]/Table1[[#This Row],[Credits]]</f>
        <v>974.73333333333335</v>
      </c>
    </row>
    <row r="201" spans="1:13">
      <c r="A201" s="2">
        <v>45124</v>
      </c>
      <c r="B201" s="1" t="s">
        <v>289</v>
      </c>
      <c r="C201" s="1" t="s">
        <v>96</v>
      </c>
      <c r="D201" s="1" t="s">
        <v>97</v>
      </c>
      <c r="E201" s="1" t="s">
        <v>21</v>
      </c>
      <c r="F201" s="1" t="s">
        <v>53</v>
      </c>
      <c r="G201" s="1" t="s">
        <v>17</v>
      </c>
      <c r="H201" s="1" t="s">
        <v>24</v>
      </c>
      <c r="I201" s="1" t="s">
        <v>19</v>
      </c>
      <c r="J201" s="1">
        <v>13239</v>
      </c>
      <c r="K201" s="1">
        <v>20</v>
      </c>
      <c r="L201" s="1">
        <v>77</v>
      </c>
      <c r="M201" s="7">
        <f>Table1[[#This Row],[Tuition Fee (拢)]]/Table1[[#This Row],[Credits]]</f>
        <v>661.95</v>
      </c>
    </row>
    <row r="202" spans="1:13">
      <c r="A202" s="2">
        <v>44799</v>
      </c>
      <c r="B202" s="1" t="s">
        <v>290</v>
      </c>
      <c r="C202" s="1" t="s">
        <v>13</v>
      </c>
      <c r="D202" s="1" t="s">
        <v>14</v>
      </c>
      <c r="E202" s="1" t="s">
        <v>21</v>
      </c>
      <c r="F202" s="1" t="s">
        <v>81</v>
      </c>
      <c r="G202" s="1" t="s">
        <v>17</v>
      </c>
      <c r="H202" s="1" t="s">
        <v>18</v>
      </c>
      <c r="I202" s="1" t="s">
        <v>25</v>
      </c>
      <c r="J202" s="1">
        <v>23118</v>
      </c>
      <c r="K202" s="1">
        <v>30</v>
      </c>
      <c r="L202" s="1">
        <v>64</v>
      </c>
      <c r="M202" s="7">
        <f>Table1[[#This Row],[Tuition Fee (拢)]]/Table1[[#This Row],[Credits]]</f>
        <v>770.6</v>
      </c>
    </row>
    <row r="203" spans="1:13">
      <c r="A203" s="2">
        <v>45172</v>
      </c>
      <c r="B203" s="1" t="s">
        <v>291</v>
      </c>
      <c r="C203" s="1" t="s">
        <v>13</v>
      </c>
      <c r="D203" s="1" t="s">
        <v>14</v>
      </c>
      <c r="E203" s="1" t="s">
        <v>34</v>
      </c>
      <c r="F203" s="1" t="s">
        <v>83</v>
      </c>
      <c r="G203" s="1" t="s">
        <v>23</v>
      </c>
      <c r="H203" s="1" t="s">
        <v>24</v>
      </c>
      <c r="I203" s="1" t="s">
        <v>32</v>
      </c>
      <c r="J203" s="1">
        <v>10369</v>
      </c>
      <c r="K203" s="1">
        <v>15</v>
      </c>
      <c r="L203" s="1">
        <v>61</v>
      </c>
      <c r="M203" s="7">
        <f>Table1[[#This Row],[Tuition Fee (拢)]]/Table1[[#This Row],[Credits]]</f>
        <v>691.26666666666665</v>
      </c>
    </row>
    <row r="204" spans="1:13">
      <c r="A204" s="2">
        <v>45082</v>
      </c>
      <c r="B204" s="1" t="s">
        <v>292</v>
      </c>
      <c r="C204" s="1" t="s">
        <v>13</v>
      </c>
      <c r="D204" s="1" t="s">
        <v>14</v>
      </c>
      <c r="E204" s="1" t="s">
        <v>21</v>
      </c>
      <c r="F204" s="1" t="s">
        <v>22</v>
      </c>
      <c r="G204" s="1" t="s">
        <v>17</v>
      </c>
      <c r="H204" s="1" t="s">
        <v>24</v>
      </c>
      <c r="I204" s="1" t="s">
        <v>19</v>
      </c>
      <c r="J204" s="1">
        <v>18181</v>
      </c>
      <c r="K204" s="1">
        <v>20</v>
      </c>
      <c r="L204" s="1">
        <v>84</v>
      </c>
      <c r="M204" s="7">
        <f>Table1[[#This Row],[Tuition Fee (拢)]]/Table1[[#This Row],[Credits]]</f>
        <v>909.05</v>
      </c>
    </row>
    <row r="205" spans="1:13">
      <c r="A205" s="2">
        <v>44725</v>
      </c>
      <c r="B205" s="1" t="s">
        <v>293</v>
      </c>
      <c r="C205" s="1" t="s">
        <v>13</v>
      </c>
      <c r="D205" s="1" t="s">
        <v>14</v>
      </c>
      <c r="E205" s="1" t="s">
        <v>21</v>
      </c>
      <c r="F205" s="1" t="s">
        <v>22</v>
      </c>
      <c r="G205" s="1" t="s">
        <v>17</v>
      </c>
      <c r="H205" s="1" t="s">
        <v>18</v>
      </c>
      <c r="I205" s="1" t="s">
        <v>32</v>
      </c>
      <c r="J205" s="1">
        <v>10252</v>
      </c>
      <c r="K205" s="1">
        <v>20</v>
      </c>
      <c r="L205" s="1">
        <v>52</v>
      </c>
      <c r="M205" s="7">
        <f>Table1[[#This Row],[Tuition Fee (拢)]]/Table1[[#This Row],[Credits]]</f>
        <v>512.6</v>
      </c>
    </row>
    <row r="206" spans="1:13">
      <c r="A206" s="2">
        <v>45364</v>
      </c>
      <c r="B206" s="1" t="s">
        <v>294</v>
      </c>
      <c r="C206" s="1" t="s">
        <v>13</v>
      </c>
      <c r="D206" s="1" t="s">
        <v>14</v>
      </c>
      <c r="E206" s="1" t="s">
        <v>34</v>
      </c>
      <c r="F206" s="1" t="s">
        <v>35</v>
      </c>
      <c r="G206" s="1" t="s">
        <v>36</v>
      </c>
      <c r="H206" s="1" t="s">
        <v>31</v>
      </c>
      <c r="I206" s="1" t="s">
        <v>19</v>
      </c>
      <c r="J206" s="1">
        <v>17125</v>
      </c>
      <c r="K206" s="1">
        <v>10</v>
      </c>
      <c r="L206" s="1">
        <v>80</v>
      </c>
      <c r="M206" s="7">
        <f>Table1[[#This Row],[Tuition Fee (拢)]]/Table1[[#This Row],[Credits]]</f>
        <v>1712.5</v>
      </c>
    </row>
    <row r="207" spans="1:13">
      <c r="A207" s="2">
        <v>44975</v>
      </c>
      <c r="B207" s="1" t="s">
        <v>295</v>
      </c>
      <c r="C207" s="1" t="s">
        <v>13</v>
      </c>
      <c r="D207" s="1" t="s">
        <v>14</v>
      </c>
      <c r="E207" s="1" t="s">
        <v>21</v>
      </c>
      <c r="F207" s="1" t="s">
        <v>22</v>
      </c>
      <c r="G207" s="1" t="s">
        <v>36</v>
      </c>
      <c r="H207" s="1" t="s">
        <v>24</v>
      </c>
      <c r="I207" s="1" t="s">
        <v>32</v>
      </c>
      <c r="J207" s="1">
        <v>10270</v>
      </c>
      <c r="K207" s="1">
        <v>10</v>
      </c>
      <c r="L207" s="1">
        <v>55</v>
      </c>
      <c r="M207" s="7">
        <f>Table1[[#This Row],[Tuition Fee (拢)]]/Table1[[#This Row],[Credits]]</f>
        <v>1027</v>
      </c>
    </row>
    <row r="208" spans="1:13">
      <c r="A208" s="2">
        <v>45189</v>
      </c>
      <c r="B208" s="1" t="s">
        <v>296</v>
      </c>
      <c r="C208" s="1" t="s">
        <v>69</v>
      </c>
      <c r="D208" s="1" t="s">
        <v>70</v>
      </c>
      <c r="E208" s="1" t="s">
        <v>29</v>
      </c>
      <c r="F208" s="1" t="s">
        <v>30</v>
      </c>
      <c r="G208" s="1" t="s">
        <v>23</v>
      </c>
      <c r="H208" s="1" t="s">
        <v>24</v>
      </c>
      <c r="I208" s="1" t="s">
        <v>19</v>
      </c>
      <c r="J208" s="1">
        <v>17991</v>
      </c>
      <c r="K208" s="1">
        <v>15</v>
      </c>
      <c r="L208" s="1">
        <v>70</v>
      </c>
      <c r="M208" s="7">
        <f>Table1[[#This Row],[Tuition Fee (拢)]]/Table1[[#This Row],[Credits]]</f>
        <v>1199.4000000000001</v>
      </c>
    </row>
    <row r="209" spans="1:13">
      <c r="A209" s="2">
        <v>45245</v>
      </c>
      <c r="B209" s="1" t="s">
        <v>297</v>
      </c>
      <c r="C209" s="1" t="s">
        <v>13</v>
      </c>
      <c r="D209" s="1" t="s">
        <v>14</v>
      </c>
      <c r="E209" s="1" t="s">
        <v>34</v>
      </c>
      <c r="F209" s="1" t="s">
        <v>35</v>
      </c>
      <c r="G209" s="1" t="s">
        <v>23</v>
      </c>
      <c r="H209" s="1" t="s">
        <v>24</v>
      </c>
      <c r="I209" s="1" t="s">
        <v>25</v>
      </c>
      <c r="J209" s="1">
        <v>17198</v>
      </c>
      <c r="K209" s="1">
        <v>15</v>
      </c>
      <c r="L209" s="1">
        <v>88</v>
      </c>
      <c r="M209" s="7">
        <f>Table1[[#This Row],[Tuition Fee (拢)]]/Table1[[#This Row],[Credits]]</f>
        <v>1146.5333333333333</v>
      </c>
    </row>
    <row r="210" spans="1:13">
      <c r="A210" s="2">
        <v>44862</v>
      </c>
      <c r="B210" s="1" t="s">
        <v>298</v>
      </c>
      <c r="C210" s="1" t="s">
        <v>13</v>
      </c>
      <c r="D210" s="1" t="s">
        <v>14</v>
      </c>
      <c r="E210" s="1" t="s">
        <v>34</v>
      </c>
      <c r="F210" s="1" t="s">
        <v>67</v>
      </c>
      <c r="G210" s="1" t="s">
        <v>23</v>
      </c>
      <c r="H210" s="1" t="s">
        <v>18</v>
      </c>
      <c r="I210" s="1" t="s">
        <v>19</v>
      </c>
      <c r="J210" s="1">
        <v>19851</v>
      </c>
      <c r="K210" s="1">
        <v>10</v>
      </c>
      <c r="L210" s="1">
        <v>57</v>
      </c>
      <c r="M210" s="7">
        <f>Table1[[#This Row],[Tuition Fee (拢)]]/Table1[[#This Row],[Credits]]</f>
        <v>1985.1</v>
      </c>
    </row>
    <row r="211" spans="1:13">
      <c r="A211" s="2">
        <v>45341</v>
      </c>
      <c r="B211" s="1" t="s">
        <v>299</v>
      </c>
      <c r="C211" s="1" t="s">
        <v>13</v>
      </c>
      <c r="D211" s="1" t="s">
        <v>14</v>
      </c>
      <c r="E211" s="1" t="s">
        <v>21</v>
      </c>
      <c r="F211" s="1" t="s">
        <v>81</v>
      </c>
      <c r="G211" s="1" t="s">
        <v>36</v>
      </c>
      <c r="H211" s="1" t="s">
        <v>31</v>
      </c>
      <c r="I211" s="1" t="s">
        <v>19</v>
      </c>
      <c r="J211" s="1">
        <v>18295</v>
      </c>
      <c r="K211" s="1">
        <v>15</v>
      </c>
      <c r="L211" s="1">
        <v>75</v>
      </c>
      <c r="M211" s="7">
        <f>Table1[[#This Row],[Tuition Fee (拢)]]/Table1[[#This Row],[Credits]]</f>
        <v>1219.6666666666667</v>
      </c>
    </row>
    <row r="212" spans="1:13">
      <c r="A212" s="2">
        <v>44783</v>
      </c>
      <c r="B212" s="1" t="s">
        <v>300</v>
      </c>
      <c r="C212" s="1" t="s">
        <v>27</v>
      </c>
      <c r="D212" s="1" t="s">
        <v>28</v>
      </c>
      <c r="E212" s="1" t="s">
        <v>29</v>
      </c>
      <c r="F212" s="1" t="s">
        <v>30</v>
      </c>
      <c r="G212" s="1" t="s">
        <v>17</v>
      </c>
      <c r="H212" s="1" t="s">
        <v>18</v>
      </c>
      <c r="I212" s="1" t="s">
        <v>19</v>
      </c>
      <c r="J212" s="1">
        <v>15853</v>
      </c>
      <c r="K212" s="1">
        <v>20</v>
      </c>
      <c r="L212" s="1">
        <v>68</v>
      </c>
      <c r="M212" s="7">
        <f>Table1[[#This Row],[Tuition Fee (拢)]]/Table1[[#This Row],[Credits]]</f>
        <v>792.65</v>
      </c>
    </row>
    <row r="213" spans="1:13">
      <c r="A213" s="2">
        <v>45461</v>
      </c>
      <c r="B213" s="1" t="s">
        <v>301</v>
      </c>
      <c r="C213" s="1" t="s">
        <v>92</v>
      </c>
      <c r="D213" s="1" t="s">
        <v>93</v>
      </c>
      <c r="E213" s="1" t="s">
        <v>15</v>
      </c>
      <c r="F213" s="1" t="s">
        <v>94</v>
      </c>
      <c r="G213" s="1" t="s">
        <v>17</v>
      </c>
      <c r="H213" s="1" t="s">
        <v>31</v>
      </c>
      <c r="I213" s="1" t="s">
        <v>19</v>
      </c>
      <c r="J213" s="1">
        <v>12779</v>
      </c>
      <c r="K213" s="1">
        <v>20</v>
      </c>
      <c r="L213" s="1">
        <v>58</v>
      </c>
      <c r="M213" s="7">
        <f>Table1[[#This Row],[Tuition Fee (拢)]]/Table1[[#This Row],[Credits]]</f>
        <v>638.95000000000005</v>
      </c>
    </row>
    <row r="214" spans="1:13">
      <c r="A214" s="2">
        <v>45524</v>
      </c>
      <c r="B214" s="1" t="s">
        <v>302</v>
      </c>
      <c r="C214" s="1" t="s">
        <v>13</v>
      </c>
      <c r="D214" s="1" t="s">
        <v>14</v>
      </c>
      <c r="E214" s="1" t="s">
        <v>21</v>
      </c>
      <c r="F214" s="1" t="s">
        <v>22</v>
      </c>
      <c r="G214" s="1" t="s">
        <v>17</v>
      </c>
      <c r="H214" s="1" t="s">
        <v>31</v>
      </c>
      <c r="I214" s="1" t="s">
        <v>19</v>
      </c>
      <c r="J214" s="1">
        <v>13543</v>
      </c>
      <c r="K214" s="1">
        <v>10</v>
      </c>
      <c r="L214" s="1">
        <v>75</v>
      </c>
      <c r="M214" s="7">
        <f>Table1[[#This Row],[Tuition Fee (拢)]]/Table1[[#This Row],[Credits]]</f>
        <v>1354.3</v>
      </c>
    </row>
    <row r="215" spans="1:13">
      <c r="A215" s="2">
        <v>44975</v>
      </c>
      <c r="B215" s="1" t="s">
        <v>303</v>
      </c>
      <c r="C215" s="1" t="s">
        <v>13</v>
      </c>
      <c r="D215" s="1" t="s">
        <v>14</v>
      </c>
      <c r="E215" s="1" t="s">
        <v>44</v>
      </c>
      <c r="F215" s="1" t="s">
        <v>120</v>
      </c>
      <c r="G215" s="1" t="s">
        <v>36</v>
      </c>
      <c r="H215" s="1" t="s">
        <v>24</v>
      </c>
      <c r="I215" s="1" t="s">
        <v>25</v>
      </c>
      <c r="J215" s="1">
        <v>16039</v>
      </c>
      <c r="K215" s="1">
        <v>20</v>
      </c>
      <c r="L215" s="1">
        <v>67</v>
      </c>
      <c r="M215" s="7">
        <f>Table1[[#This Row],[Tuition Fee (拢)]]/Table1[[#This Row],[Credits]]</f>
        <v>801.95</v>
      </c>
    </row>
    <row r="216" spans="1:13">
      <c r="A216" s="2">
        <v>44991</v>
      </c>
      <c r="B216" s="1" t="s">
        <v>304</v>
      </c>
      <c r="C216" s="1" t="s">
        <v>72</v>
      </c>
      <c r="D216" s="1" t="s">
        <v>73</v>
      </c>
      <c r="E216" s="1" t="s">
        <v>29</v>
      </c>
      <c r="F216" s="1" t="s">
        <v>30</v>
      </c>
      <c r="G216" s="1" t="s">
        <v>36</v>
      </c>
      <c r="H216" s="1" t="s">
        <v>24</v>
      </c>
      <c r="I216" s="1" t="s">
        <v>32</v>
      </c>
      <c r="J216" s="1">
        <v>10237</v>
      </c>
      <c r="K216" s="1">
        <v>30</v>
      </c>
      <c r="L216" s="1">
        <v>57</v>
      </c>
      <c r="M216" s="7">
        <f>Table1[[#This Row],[Tuition Fee (拢)]]/Table1[[#This Row],[Credits]]</f>
        <v>341.23333333333335</v>
      </c>
    </row>
    <row r="217" spans="1:13">
      <c r="A217" s="2">
        <v>45143</v>
      </c>
      <c r="B217" s="1" t="s">
        <v>305</v>
      </c>
      <c r="C217" s="1" t="s">
        <v>92</v>
      </c>
      <c r="D217" s="1" t="s">
        <v>93</v>
      </c>
      <c r="E217" s="1" t="s">
        <v>15</v>
      </c>
      <c r="F217" s="1" t="s">
        <v>94</v>
      </c>
      <c r="G217" s="1" t="s">
        <v>17</v>
      </c>
      <c r="H217" s="1" t="s">
        <v>24</v>
      </c>
      <c r="I217" s="1" t="s">
        <v>19</v>
      </c>
      <c r="J217" s="1">
        <v>15966</v>
      </c>
      <c r="K217" s="1">
        <v>20</v>
      </c>
      <c r="L217" s="1">
        <v>61</v>
      </c>
      <c r="M217" s="7">
        <f>Table1[[#This Row],[Tuition Fee (拢)]]/Table1[[#This Row],[Credits]]</f>
        <v>798.3</v>
      </c>
    </row>
    <row r="218" spans="1:13">
      <c r="A218" s="2">
        <v>45191</v>
      </c>
      <c r="B218" s="1" t="s">
        <v>306</v>
      </c>
      <c r="C218" s="1" t="s">
        <v>27</v>
      </c>
      <c r="D218" s="1" t="s">
        <v>28</v>
      </c>
      <c r="E218" s="1" t="s">
        <v>29</v>
      </c>
      <c r="F218" s="1" t="s">
        <v>30</v>
      </c>
      <c r="G218" s="1" t="s">
        <v>23</v>
      </c>
      <c r="H218" s="1" t="s">
        <v>24</v>
      </c>
      <c r="I218" s="1" t="s">
        <v>32</v>
      </c>
      <c r="J218" s="1">
        <v>9769</v>
      </c>
      <c r="K218" s="1">
        <v>30</v>
      </c>
      <c r="L218" s="1">
        <v>60</v>
      </c>
      <c r="M218" s="7">
        <f>Table1[[#This Row],[Tuition Fee (拢)]]/Table1[[#This Row],[Credits]]</f>
        <v>325.63333333333333</v>
      </c>
    </row>
    <row r="219" spans="1:13">
      <c r="A219" s="2">
        <v>44835</v>
      </c>
      <c r="B219" s="1" t="s">
        <v>307</v>
      </c>
      <c r="C219" s="1" t="s">
        <v>13</v>
      </c>
      <c r="D219" s="1" t="s">
        <v>14</v>
      </c>
      <c r="E219" s="1" t="s">
        <v>15</v>
      </c>
      <c r="F219" s="1" t="s">
        <v>16</v>
      </c>
      <c r="G219" s="1" t="s">
        <v>23</v>
      </c>
      <c r="H219" s="1" t="s">
        <v>18</v>
      </c>
      <c r="I219" s="1" t="s">
        <v>32</v>
      </c>
      <c r="J219" s="1">
        <v>10529</v>
      </c>
      <c r="K219" s="1">
        <v>20</v>
      </c>
      <c r="L219" s="1">
        <v>72</v>
      </c>
      <c r="M219" s="7">
        <f>Table1[[#This Row],[Tuition Fee (拢)]]/Table1[[#This Row],[Credits]]</f>
        <v>526.45000000000005</v>
      </c>
    </row>
    <row r="220" spans="1:13">
      <c r="A220" s="2">
        <v>45178</v>
      </c>
      <c r="B220" s="1" t="s">
        <v>308</v>
      </c>
      <c r="C220" s="1" t="s">
        <v>278</v>
      </c>
      <c r="D220" s="1" t="s">
        <v>279</v>
      </c>
      <c r="E220" s="1" t="s">
        <v>34</v>
      </c>
      <c r="F220" s="1" t="s">
        <v>58</v>
      </c>
      <c r="G220" s="1" t="s">
        <v>23</v>
      </c>
      <c r="H220" s="1" t="s">
        <v>24</v>
      </c>
      <c r="I220" s="1" t="s">
        <v>32</v>
      </c>
      <c r="J220" s="1">
        <v>10888</v>
      </c>
      <c r="K220" s="1">
        <v>20</v>
      </c>
      <c r="L220" s="1">
        <v>70</v>
      </c>
      <c r="M220" s="7">
        <f>Table1[[#This Row],[Tuition Fee (拢)]]/Table1[[#This Row],[Credits]]</f>
        <v>544.4</v>
      </c>
    </row>
    <row r="221" spans="1:13">
      <c r="A221" s="2">
        <v>44718</v>
      </c>
      <c r="B221" s="1" t="s">
        <v>309</v>
      </c>
      <c r="C221" s="1" t="s">
        <v>13</v>
      </c>
      <c r="D221" s="1" t="s">
        <v>14</v>
      </c>
      <c r="E221" s="1" t="s">
        <v>34</v>
      </c>
      <c r="F221" s="1" t="s">
        <v>67</v>
      </c>
      <c r="G221" s="1" t="s">
        <v>17</v>
      </c>
      <c r="H221" s="1" t="s">
        <v>18</v>
      </c>
      <c r="I221" s="1" t="s">
        <v>19</v>
      </c>
      <c r="J221" s="1">
        <v>13422</v>
      </c>
      <c r="K221" s="1">
        <v>10</v>
      </c>
      <c r="L221" s="1">
        <v>81</v>
      </c>
      <c r="M221" s="7">
        <f>Table1[[#This Row],[Tuition Fee (拢)]]/Table1[[#This Row],[Credits]]</f>
        <v>1342.2</v>
      </c>
    </row>
    <row r="222" spans="1:13">
      <c r="A222" s="2">
        <v>44648</v>
      </c>
      <c r="B222" s="1" t="s">
        <v>310</v>
      </c>
      <c r="C222" s="1" t="s">
        <v>13</v>
      </c>
      <c r="D222" s="1" t="s">
        <v>14</v>
      </c>
      <c r="E222" s="1" t="s">
        <v>44</v>
      </c>
      <c r="F222" s="1" t="s">
        <v>108</v>
      </c>
      <c r="G222" s="1" t="s">
        <v>36</v>
      </c>
      <c r="H222" s="1" t="s">
        <v>18</v>
      </c>
      <c r="I222" s="1" t="s">
        <v>32</v>
      </c>
      <c r="J222" s="1">
        <v>10236</v>
      </c>
      <c r="K222" s="1">
        <v>30</v>
      </c>
      <c r="L222" s="1">
        <v>76</v>
      </c>
      <c r="M222" s="7">
        <f>Table1[[#This Row],[Tuition Fee (拢)]]/Table1[[#This Row],[Credits]]</f>
        <v>341.2</v>
      </c>
    </row>
    <row r="223" spans="1:13">
      <c r="A223" s="2">
        <v>45173</v>
      </c>
      <c r="B223" s="1" t="s">
        <v>311</v>
      </c>
      <c r="C223" s="1" t="s">
        <v>13</v>
      </c>
      <c r="D223" s="1" t="s">
        <v>14</v>
      </c>
      <c r="E223" s="1" t="s">
        <v>34</v>
      </c>
      <c r="F223" s="1" t="s">
        <v>67</v>
      </c>
      <c r="G223" s="1" t="s">
        <v>23</v>
      </c>
      <c r="H223" s="1" t="s">
        <v>24</v>
      </c>
      <c r="I223" s="1" t="s">
        <v>19</v>
      </c>
      <c r="J223" s="1">
        <v>13878</v>
      </c>
      <c r="K223" s="1">
        <v>30</v>
      </c>
      <c r="L223" s="1">
        <v>75</v>
      </c>
      <c r="M223" s="7">
        <f>Table1[[#This Row],[Tuition Fee (拢)]]/Table1[[#This Row],[Credits]]</f>
        <v>462.6</v>
      </c>
    </row>
    <row r="224" spans="1:13">
      <c r="A224" s="2">
        <v>45205</v>
      </c>
      <c r="B224" s="1" t="s">
        <v>312</v>
      </c>
      <c r="C224" s="1" t="s">
        <v>13</v>
      </c>
      <c r="D224" s="1" t="s">
        <v>14</v>
      </c>
      <c r="E224" s="1" t="s">
        <v>29</v>
      </c>
      <c r="F224" s="1" t="s">
        <v>62</v>
      </c>
      <c r="G224" s="1" t="s">
        <v>23</v>
      </c>
      <c r="H224" s="1" t="s">
        <v>24</v>
      </c>
      <c r="I224" s="1" t="s">
        <v>25</v>
      </c>
      <c r="J224" s="1">
        <v>16800</v>
      </c>
      <c r="K224" s="1">
        <v>15</v>
      </c>
      <c r="L224" s="1">
        <v>76</v>
      </c>
      <c r="M224" s="7">
        <f>Table1[[#This Row],[Tuition Fee (拢)]]/Table1[[#This Row],[Credits]]</f>
        <v>1120</v>
      </c>
    </row>
    <row r="225" spans="1:13">
      <c r="A225" s="2">
        <v>45528</v>
      </c>
      <c r="B225" s="1" t="s">
        <v>313</v>
      </c>
      <c r="C225" s="1" t="s">
        <v>13</v>
      </c>
      <c r="D225" s="1" t="s">
        <v>14</v>
      </c>
      <c r="E225" s="1" t="s">
        <v>34</v>
      </c>
      <c r="F225" s="1" t="s">
        <v>35</v>
      </c>
      <c r="G225" s="1" t="s">
        <v>17</v>
      </c>
      <c r="H225" s="1" t="s">
        <v>31</v>
      </c>
      <c r="I225" s="1" t="s">
        <v>19</v>
      </c>
      <c r="J225" s="1">
        <v>16008</v>
      </c>
      <c r="K225" s="1">
        <v>20</v>
      </c>
      <c r="L225" s="1">
        <v>62</v>
      </c>
      <c r="M225" s="7">
        <f>Table1[[#This Row],[Tuition Fee (拢)]]/Table1[[#This Row],[Credits]]</f>
        <v>800.4</v>
      </c>
    </row>
    <row r="226" spans="1:13">
      <c r="A226" s="2">
        <v>44971</v>
      </c>
      <c r="B226" s="1" t="s">
        <v>314</v>
      </c>
      <c r="C226" s="1" t="s">
        <v>13</v>
      </c>
      <c r="D226" s="1" t="s">
        <v>14</v>
      </c>
      <c r="E226" s="1" t="s">
        <v>21</v>
      </c>
      <c r="F226" s="1" t="s">
        <v>81</v>
      </c>
      <c r="G226" s="1" t="s">
        <v>36</v>
      </c>
      <c r="H226" s="1" t="s">
        <v>24</v>
      </c>
      <c r="I226" s="1" t="s">
        <v>32</v>
      </c>
      <c r="J226" s="1">
        <v>10797</v>
      </c>
      <c r="K226" s="1">
        <v>15</v>
      </c>
      <c r="L226" s="1">
        <v>54</v>
      </c>
      <c r="M226" s="7">
        <f>Table1[[#This Row],[Tuition Fee (拢)]]/Table1[[#This Row],[Credits]]</f>
        <v>719.8</v>
      </c>
    </row>
    <row r="227" spans="1:13">
      <c r="A227" s="2">
        <v>44994</v>
      </c>
      <c r="B227" s="1" t="s">
        <v>315</v>
      </c>
      <c r="C227" s="1" t="s">
        <v>13</v>
      </c>
      <c r="D227" s="1" t="s">
        <v>14</v>
      </c>
      <c r="E227" s="1" t="s">
        <v>29</v>
      </c>
      <c r="F227" s="1" t="s">
        <v>76</v>
      </c>
      <c r="G227" s="1" t="s">
        <v>36</v>
      </c>
      <c r="H227" s="1" t="s">
        <v>24</v>
      </c>
      <c r="I227" s="1" t="s">
        <v>32</v>
      </c>
      <c r="J227" s="1">
        <v>10034</v>
      </c>
      <c r="K227" s="1">
        <v>10</v>
      </c>
      <c r="L227" s="1">
        <v>52</v>
      </c>
      <c r="M227" s="7">
        <f>Table1[[#This Row],[Tuition Fee (拢)]]/Table1[[#This Row],[Credits]]</f>
        <v>1003.4</v>
      </c>
    </row>
    <row r="228" spans="1:13">
      <c r="A228" s="2">
        <v>45538</v>
      </c>
      <c r="B228" s="1" t="s">
        <v>316</v>
      </c>
      <c r="C228" s="1" t="s">
        <v>13</v>
      </c>
      <c r="D228" s="1" t="s">
        <v>14</v>
      </c>
      <c r="E228" s="1" t="s">
        <v>29</v>
      </c>
      <c r="F228" s="1" t="s">
        <v>62</v>
      </c>
      <c r="G228" s="1" t="s">
        <v>23</v>
      </c>
      <c r="H228" s="1" t="s">
        <v>31</v>
      </c>
      <c r="I228" s="1" t="s">
        <v>25</v>
      </c>
      <c r="J228" s="1">
        <v>21354</v>
      </c>
      <c r="K228" s="1">
        <v>30</v>
      </c>
      <c r="L228" s="1">
        <v>83</v>
      </c>
      <c r="M228" s="7">
        <f>Table1[[#This Row],[Tuition Fee (拢)]]/Table1[[#This Row],[Credits]]</f>
        <v>711.8</v>
      </c>
    </row>
    <row r="229" spans="1:13">
      <c r="A229" s="2">
        <v>45364</v>
      </c>
      <c r="B229" s="1" t="s">
        <v>317</v>
      </c>
      <c r="C229" s="1" t="s">
        <v>13</v>
      </c>
      <c r="D229" s="1" t="s">
        <v>14</v>
      </c>
      <c r="E229" s="1" t="s">
        <v>44</v>
      </c>
      <c r="F229" s="1" t="s">
        <v>108</v>
      </c>
      <c r="G229" s="1" t="s">
        <v>36</v>
      </c>
      <c r="H229" s="1" t="s">
        <v>31</v>
      </c>
      <c r="I229" s="1" t="s">
        <v>32</v>
      </c>
      <c r="J229" s="1">
        <v>10104</v>
      </c>
      <c r="K229" s="1">
        <v>10</v>
      </c>
      <c r="L229" s="1">
        <v>67</v>
      </c>
      <c r="M229" s="7">
        <f>Table1[[#This Row],[Tuition Fee (拢)]]/Table1[[#This Row],[Credits]]</f>
        <v>1010.4</v>
      </c>
    </row>
    <row r="230" spans="1:13">
      <c r="A230" s="2">
        <v>45249</v>
      </c>
      <c r="B230" s="1" t="s">
        <v>318</v>
      </c>
      <c r="C230" s="1" t="s">
        <v>51</v>
      </c>
      <c r="D230" s="1" t="s">
        <v>52</v>
      </c>
      <c r="E230" s="1" t="s">
        <v>21</v>
      </c>
      <c r="F230" s="1" t="s">
        <v>53</v>
      </c>
      <c r="G230" s="1" t="s">
        <v>23</v>
      </c>
      <c r="H230" s="1" t="s">
        <v>24</v>
      </c>
      <c r="I230" s="1" t="s">
        <v>19</v>
      </c>
      <c r="J230" s="1">
        <v>17826</v>
      </c>
      <c r="K230" s="1">
        <v>30</v>
      </c>
      <c r="L230" s="1">
        <v>74</v>
      </c>
      <c r="M230" s="7">
        <f>Table1[[#This Row],[Tuition Fee (拢)]]/Table1[[#This Row],[Credits]]</f>
        <v>594.20000000000005</v>
      </c>
    </row>
    <row r="231" spans="1:13">
      <c r="A231" s="2">
        <v>44811</v>
      </c>
      <c r="B231" s="1" t="s">
        <v>319</v>
      </c>
      <c r="C231" s="1" t="s">
        <v>183</v>
      </c>
      <c r="D231" s="1" t="s">
        <v>184</v>
      </c>
      <c r="E231" s="1" t="s">
        <v>44</v>
      </c>
      <c r="F231" s="1" t="s">
        <v>45</v>
      </c>
      <c r="G231" s="1" t="s">
        <v>23</v>
      </c>
      <c r="H231" s="1" t="s">
        <v>18</v>
      </c>
      <c r="I231" s="1" t="s">
        <v>32</v>
      </c>
      <c r="J231" s="1">
        <v>10058</v>
      </c>
      <c r="K231" s="1">
        <v>30</v>
      </c>
      <c r="L231" s="1">
        <v>50</v>
      </c>
      <c r="M231" s="7">
        <f>Table1[[#This Row],[Tuition Fee (拢)]]/Table1[[#This Row],[Credits]]</f>
        <v>335.26666666666665</v>
      </c>
    </row>
    <row r="232" spans="1:13">
      <c r="A232" s="2">
        <v>45112</v>
      </c>
      <c r="B232" s="1" t="s">
        <v>320</v>
      </c>
      <c r="C232" s="1" t="s">
        <v>13</v>
      </c>
      <c r="D232" s="1" t="s">
        <v>14</v>
      </c>
      <c r="E232" s="1" t="s">
        <v>44</v>
      </c>
      <c r="F232" s="1" t="s">
        <v>120</v>
      </c>
      <c r="G232" s="1" t="s">
        <v>17</v>
      </c>
      <c r="H232" s="1" t="s">
        <v>24</v>
      </c>
      <c r="I232" s="1" t="s">
        <v>19</v>
      </c>
      <c r="J232" s="1">
        <v>13247</v>
      </c>
      <c r="K232" s="1">
        <v>30</v>
      </c>
      <c r="L232" s="1">
        <v>63</v>
      </c>
      <c r="M232" s="7">
        <f>Table1[[#This Row],[Tuition Fee (拢)]]/Table1[[#This Row],[Credits]]</f>
        <v>441.56666666666666</v>
      </c>
    </row>
    <row r="233" spans="1:13">
      <c r="A233" s="2">
        <v>45308</v>
      </c>
      <c r="B233" s="1" t="s">
        <v>321</v>
      </c>
      <c r="C233" s="1" t="s">
        <v>72</v>
      </c>
      <c r="D233" s="1" t="s">
        <v>73</v>
      </c>
      <c r="E233" s="1" t="s">
        <v>29</v>
      </c>
      <c r="F233" s="1" t="s">
        <v>30</v>
      </c>
      <c r="G233" s="1" t="s">
        <v>36</v>
      </c>
      <c r="H233" s="1" t="s">
        <v>31</v>
      </c>
      <c r="I233" s="1" t="s">
        <v>25</v>
      </c>
      <c r="J233" s="1">
        <v>16510</v>
      </c>
      <c r="K233" s="1">
        <v>10</v>
      </c>
      <c r="L233" s="1">
        <v>69</v>
      </c>
      <c r="M233" s="7">
        <f>Table1[[#This Row],[Tuition Fee (拢)]]/Table1[[#This Row],[Credits]]</f>
        <v>1651</v>
      </c>
    </row>
    <row r="234" spans="1:13">
      <c r="A234" s="2">
        <v>45586</v>
      </c>
      <c r="B234" s="1" t="s">
        <v>322</v>
      </c>
      <c r="C234" s="1" t="s">
        <v>13</v>
      </c>
      <c r="D234" s="1" t="s">
        <v>14</v>
      </c>
      <c r="E234" s="1" t="s">
        <v>34</v>
      </c>
      <c r="F234" s="1" t="s">
        <v>67</v>
      </c>
      <c r="G234" s="1" t="s">
        <v>23</v>
      </c>
      <c r="H234" s="1" t="s">
        <v>31</v>
      </c>
      <c r="I234" s="1" t="s">
        <v>32</v>
      </c>
      <c r="J234" s="1">
        <v>10518</v>
      </c>
      <c r="K234" s="1">
        <v>15</v>
      </c>
      <c r="L234" s="1">
        <v>77</v>
      </c>
      <c r="M234" s="7">
        <f>Table1[[#This Row],[Tuition Fee (拢)]]/Table1[[#This Row],[Credits]]</f>
        <v>701.2</v>
      </c>
    </row>
    <row r="235" spans="1:13">
      <c r="A235" s="2">
        <v>44939</v>
      </c>
      <c r="B235" s="1" t="s">
        <v>323</v>
      </c>
      <c r="C235" s="1" t="s">
        <v>13</v>
      </c>
      <c r="D235" s="1" t="s">
        <v>14</v>
      </c>
      <c r="E235" s="1" t="s">
        <v>21</v>
      </c>
      <c r="F235" s="1" t="s">
        <v>81</v>
      </c>
      <c r="G235" s="1" t="s">
        <v>36</v>
      </c>
      <c r="H235" s="1" t="s">
        <v>24</v>
      </c>
      <c r="I235" s="1" t="s">
        <v>32</v>
      </c>
      <c r="J235" s="1">
        <v>9151</v>
      </c>
      <c r="K235" s="1">
        <v>10</v>
      </c>
      <c r="L235" s="1">
        <v>63</v>
      </c>
      <c r="M235" s="7">
        <f>Table1[[#This Row],[Tuition Fee (拢)]]/Table1[[#This Row],[Credits]]</f>
        <v>915.1</v>
      </c>
    </row>
    <row r="236" spans="1:13">
      <c r="A236" s="2">
        <v>45162</v>
      </c>
      <c r="B236" s="1" t="s">
        <v>324</v>
      </c>
      <c r="C236" s="1" t="s">
        <v>13</v>
      </c>
      <c r="D236" s="1" t="s">
        <v>14</v>
      </c>
      <c r="E236" s="1" t="s">
        <v>29</v>
      </c>
      <c r="F236" s="1" t="s">
        <v>47</v>
      </c>
      <c r="G236" s="1" t="s">
        <v>17</v>
      </c>
      <c r="H236" s="1" t="s">
        <v>24</v>
      </c>
      <c r="I236" s="1" t="s">
        <v>25</v>
      </c>
      <c r="J236" s="1">
        <v>24153</v>
      </c>
      <c r="K236" s="1">
        <v>10</v>
      </c>
      <c r="L236" s="1">
        <v>79</v>
      </c>
      <c r="M236" s="7">
        <f>Table1[[#This Row],[Tuition Fee (拢)]]/Table1[[#This Row],[Credits]]</f>
        <v>2415.3000000000002</v>
      </c>
    </row>
    <row r="237" spans="1:13">
      <c r="A237" s="2">
        <v>44836</v>
      </c>
      <c r="B237" s="1" t="s">
        <v>325</v>
      </c>
      <c r="C237" s="1" t="s">
        <v>208</v>
      </c>
      <c r="D237" s="1" t="s">
        <v>209</v>
      </c>
      <c r="E237" s="1" t="s">
        <v>15</v>
      </c>
      <c r="F237" s="1" t="s">
        <v>94</v>
      </c>
      <c r="G237" s="1" t="s">
        <v>23</v>
      </c>
      <c r="H237" s="1" t="s">
        <v>18</v>
      </c>
      <c r="I237" s="1" t="s">
        <v>25</v>
      </c>
      <c r="J237" s="1">
        <v>16286</v>
      </c>
      <c r="K237" s="1">
        <v>20</v>
      </c>
      <c r="L237" s="1">
        <v>78</v>
      </c>
      <c r="M237" s="7">
        <f>Table1[[#This Row],[Tuition Fee (拢)]]/Table1[[#This Row],[Credits]]</f>
        <v>814.3</v>
      </c>
    </row>
    <row r="238" spans="1:13">
      <c r="A238" s="2">
        <v>44936</v>
      </c>
      <c r="B238" s="1" t="s">
        <v>326</v>
      </c>
      <c r="C238" s="1" t="s">
        <v>270</v>
      </c>
      <c r="D238" s="1" t="s">
        <v>271</v>
      </c>
      <c r="E238" s="1" t="s">
        <v>15</v>
      </c>
      <c r="F238" s="1" t="s">
        <v>94</v>
      </c>
      <c r="G238" s="1" t="s">
        <v>36</v>
      </c>
      <c r="H238" s="1" t="s">
        <v>24</v>
      </c>
      <c r="I238" s="1" t="s">
        <v>19</v>
      </c>
      <c r="J238" s="1">
        <v>12927</v>
      </c>
      <c r="K238" s="1">
        <v>20</v>
      </c>
      <c r="L238" s="1">
        <v>73</v>
      </c>
      <c r="M238" s="7">
        <f>Table1[[#This Row],[Tuition Fee (拢)]]/Table1[[#This Row],[Credits]]</f>
        <v>646.35</v>
      </c>
    </row>
    <row r="239" spans="1:13">
      <c r="A239" s="2">
        <v>44941</v>
      </c>
      <c r="B239" s="1" t="s">
        <v>327</v>
      </c>
      <c r="C239" s="1" t="s">
        <v>13</v>
      </c>
      <c r="D239" s="1" t="s">
        <v>14</v>
      </c>
      <c r="E239" s="1" t="s">
        <v>15</v>
      </c>
      <c r="F239" s="1" t="s">
        <v>16</v>
      </c>
      <c r="G239" s="1" t="s">
        <v>36</v>
      </c>
      <c r="H239" s="1" t="s">
        <v>24</v>
      </c>
      <c r="I239" s="1" t="s">
        <v>19</v>
      </c>
      <c r="J239" s="1">
        <v>16292</v>
      </c>
      <c r="K239" s="1">
        <v>20</v>
      </c>
      <c r="L239" s="1">
        <v>66</v>
      </c>
      <c r="M239" s="7">
        <f>Table1[[#This Row],[Tuition Fee (拢)]]/Table1[[#This Row],[Credits]]</f>
        <v>814.6</v>
      </c>
    </row>
    <row r="240" spans="1:13">
      <c r="A240" s="2">
        <v>45355</v>
      </c>
      <c r="B240" s="1" t="s">
        <v>328</v>
      </c>
      <c r="C240" s="1" t="s">
        <v>13</v>
      </c>
      <c r="D240" s="1" t="s">
        <v>14</v>
      </c>
      <c r="E240" s="1" t="s">
        <v>34</v>
      </c>
      <c r="F240" s="1" t="s">
        <v>35</v>
      </c>
      <c r="G240" s="1" t="s">
        <v>36</v>
      </c>
      <c r="H240" s="1" t="s">
        <v>31</v>
      </c>
      <c r="I240" s="1" t="s">
        <v>25</v>
      </c>
      <c r="J240" s="1">
        <v>24339</v>
      </c>
      <c r="K240" s="1">
        <v>20</v>
      </c>
      <c r="L240" s="1">
        <v>64</v>
      </c>
      <c r="M240" s="7">
        <f>Table1[[#This Row],[Tuition Fee (拢)]]/Table1[[#This Row],[Credits]]</f>
        <v>1216.95</v>
      </c>
    </row>
    <row r="241" spans="1:13">
      <c r="A241" s="2">
        <v>45013</v>
      </c>
      <c r="B241" s="1" t="s">
        <v>329</v>
      </c>
      <c r="C241" s="1" t="s">
        <v>13</v>
      </c>
      <c r="D241" s="1" t="s">
        <v>14</v>
      </c>
      <c r="E241" s="1" t="s">
        <v>44</v>
      </c>
      <c r="F241" s="1" t="s">
        <v>120</v>
      </c>
      <c r="G241" s="1" t="s">
        <v>36</v>
      </c>
      <c r="H241" s="1" t="s">
        <v>24</v>
      </c>
      <c r="I241" s="1" t="s">
        <v>32</v>
      </c>
      <c r="J241" s="1">
        <v>9135</v>
      </c>
      <c r="K241" s="1">
        <v>20</v>
      </c>
      <c r="L241" s="1">
        <v>77</v>
      </c>
      <c r="M241" s="7">
        <f>Table1[[#This Row],[Tuition Fee (拢)]]/Table1[[#This Row],[Credits]]</f>
        <v>456.75</v>
      </c>
    </row>
    <row r="242" spans="1:13">
      <c r="A242" s="2">
        <v>44596</v>
      </c>
      <c r="B242" s="1" t="s">
        <v>330</v>
      </c>
      <c r="C242" s="1" t="s">
        <v>13</v>
      </c>
      <c r="D242" s="1" t="s">
        <v>14</v>
      </c>
      <c r="E242" s="1" t="s">
        <v>21</v>
      </c>
      <c r="F242" s="1" t="s">
        <v>81</v>
      </c>
      <c r="G242" s="1" t="s">
        <v>36</v>
      </c>
      <c r="H242" s="1" t="s">
        <v>18</v>
      </c>
      <c r="I242" s="1" t="s">
        <v>32</v>
      </c>
      <c r="J242" s="1">
        <v>9788</v>
      </c>
      <c r="K242" s="1">
        <v>15</v>
      </c>
      <c r="L242" s="1">
        <v>61</v>
      </c>
      <c r="M242" s="7">
        <f>Table1[[#This Row],[Tuition Fee (拢)]]/Table1[[#This Row],[Credits]]</f>
        <v>652.5333333333333</v>
      </c>
    </row>
    <row r="243" spans="1:13">
      <c r="A243" s="2">
        <v>45343</v>
      </c>
      <c r="B243" s="1" t="s">
        <v>331</v>
      </c>
      <c r="C243" s="1" t="s">
        <v>13</v>
      </c>
      <c r="D243" s="1" t="s">
        <v>14</v>
      </c>
      <c r="E243" s="1" t="s">
        <v>15</v>
      </c>
      <c r="F243" s="1" t="s">
        <v>16</v>
      </c>
      <c r="G243" s="1" t="s">
        <v>36</v>
      </c>
      <c r="H243" s="1" t="s">
        <v>31</v>
      </c>
      <c r="I243" s="1" t="s">
        <v>32</v>
      </c>
      <c r="J243" s="1">
        <v>10882</v>
      </c>
      <c r="K243" s="1">
        <v>15</v>
      </c>
      <c r="L243" s="1">
        <v>69</v>
      </c>
      <c r="M243" s="7">
        <f>Table1[[#This Row],[Tuition Fee (拢)]]/Table1[[#This Row],[Credits]]</f>
        <v>725.4666666666667</v>
      </c>
    </row>
    <row r="244" spans="1:13">
      <c r="A244" s="2">
        <v>44858</v>
      </c>
      <c r="B244" s="1" t="s">
        <v>332</v>
      </c>
      <c r="C244" s="1" t="s">
        <v>13</v>
      </c>
      <c r="D244" s="1" t="s">
        <v>14</v>
      </c>
      <c r="E244" s="1" t="s">
        <v>29</v>
      </c>
      <c r="F244" s="1" t="s">
        <v>62</v>
      </c>
      <c r="G244" s="1" t="s">
        <v>23</v>
      </c>
      <c r="H244" s="1" t="s">
        <v>18</v>
      </c>
      <c r="I244" s="1" t="s">
        <v>25</v>
      </c>
      <c r="J244" s="1">
        <v>17556</v>
      </c>
      <c r="K244" s="1">
        <v>10</v>
      </c>
      <c r="L244" s="1">
        <v>71</v>
      </c>
      <c r="M244" s="7">
        <f>Table1[[#This Row],[Tuition Fee (拢)]]/Table1[[#This Row],[Credits]]</f>
        <v>1755.6</v>
      </c>
    </row>
    <row r="245" spans="1:13">
      <c r="A245" s="2">
        <v>44943</v>
      </c>
      <c r="B245" s="1" t="s">
        <v>333</v>
      </c>
      <c r="C245" s="1" t="s">
        <v>13</v>
      </c>
      <c r="D245" s="1" t="s">
        <v>14</v>
      </c>
      <c r="E245" s="1" t="s">
        <v>44</v>
      </c>
      <c r="F245" s="1" t="s">
        <v>120</v>
      </c>
      <c r="G245" s="1" t="s">
        <v>36</v>
      </c>
      <c r="H245" s="1" t="s">
        <v>24</v>
      </c>
      <c r="I245" s="1" t="s">
        <v>25</v>
      </c>
      <c r="J245" s="1">
        <v>22371</v>
      </c>
      <c r="K245" s="1">
        <v>30</v>
      </c>
      <c r="L245" s="1">
        <v>87</v>
      </c>
      <c r="M245" s="7">
        <f>Table1[[#This Row],[Tuition Fee (拢)]]/Table1[[#This Row],[Credits]]</f>
        <v>745.7</v>
      </c>
    </row>
    <row r="246" spans="1:13">
      <c r="A246" s="2">
        <v>45302</v>
      </c>
      <c r="B246" s="1" t="s">
        <v>334</v>
      </c>
      <c r="C246" s="1" t="s">
        <v>85</v>
      </c>
      <c r="D246" s="1" t="s">
        <v>86</v>
      </c>
      <c r="E246" s="1" t="s">
        <v>44</v>
      </c>
      <c r="F246" s="1" t="s">
        <v>45</v>
      </c>
      <c r="G246" s="1" t="s">
        <v>36</v>
      </c>
      <c r="H246" s="1" t="s">
        <v>31</v>
      </c>
      <c r="I246" s="1" t="s">
        <v>32</v>
      </c>
      <c r="J246" s="1">
        <v>9923</v>
      </c>
      <c r="K246" s="1">
        <v>20</v>
      </c>
      <c r="L246" s="1">
        <v>76</v>
      </c>
      <c r="M246" s="7">
        <f>Table1[[#This Row],[Tuition Fee (拢)]]/Table1[[#This Row],[Credits]]</f>
        <v>496.15</v>
      </c>
    </row>
    <row r="247" spans="1:13">
      <c r="A247" s="2">
        <v>45257</v>
      </c>
      <c r="B247" s="1" t="s">
        <v>335</v>
      </c>
      <c r="C247" s="1" t="s">
        <v>85</v>
      </c>
      <c r="D247" s="1" t="s">
        <v>86</v>
      </c>
      <c r="E247" s="1" t="s">
        <v>44</v>
      </c>
      <c r="F247" s="1" t="s">
        <v>45</v>
      </c>
      <c r="G247" s="1" t="s">
        <v>23</v>
      </c>
      <c r="H247" s="1" t="s">
        <v>24</v>
      </c>
      <c r="I247" s="1" t="s">
        <v>25</v>
      </c>
      <c r="J247" s="1">
        <v>15744</v>
      </c>
      <c r="K247" s="1">
        <v>30</v>
      </c>
      <c r="L247" s="1">
        <v>73</v>
      </c>
      <c r="M247" s="7">
        <f>Table1[[#This Row],[Tuition Fee (拢)]]/Table1[[#This Row],[Credits]]</f>
        <v>524.79999999999995</v>
      </c>
    </row>
    <row r="248" spans="1:13">
      <c r="A248" s="2">
        <v>45237</v>
      </c>
      <c r="B248" s="1" t="s">
        <v>336</v>
      </c>
      <c r="C248" s="1" t="s">
        <v>13</v>
      </c>
      <c r="D248" s="1" t="s">
        <v>14</v>
      </c>
      <c r="E248" s="1" t="s">
        <v>34</v>
      </c>
      <c r="F248" s="1" t="s">
        <v>35</v>
      </c>
      <c r="G248" s="1" t="s">
        <v>23</v>
      </c>
      <c r="H248" s="1" t="s">
        <v>24</v>
      </c>
      <c r="I248" s="1" t="s">
        <v>25</v>
      </c>
      <c r="J248" s="1">
        <v>16093</v>
      </c>
      <c r="K248" s="1">
        <v>15</v>
      </c>
      <c r="L248" s="1">
        <v>76</v>
      </c>
      <c r="M248" s="7">
        <f>Table1[[#This Row],[Tuition Fee (拢)]]/Table1[[#This Row],[Credits]]</f>
        <v>1072.8666666666666</v>
      </c>
    </row>
    <row r="249" spans="1:13">
      <c r="A249" s="2">
        <v>45444</v>
      </c>
      <c r="B249" s="1" t="s">
        <v>337</v>
      </c>
      <c r="C249" s="1" t="s">
        <v>13</v>
      </c>
      <c r="D249" s="1" t="s">
        <v>14</v>
      </c>
      <c r="E249" s="1" t="s">
        <v>21</v>
      </c>
      <c r="F249" s="1" t="s">
        <v>81</v>
      </c>
      <c r="G249" s="1" t="s">
        <v>17</v>
      </c>
      <c r="H249" s="1" t="s">
        <v>31</v>
      </c>
      <c r="I249" s="1" t="s">
        <v>25</v>
      </c>
      <c r="J249" s="1">
        <v>20954</v>
      </c>
      <c r="K249" s="1">
        <v>10</v>
      </c>
      <c r="L249" s="1">
        <v>72</v>
      </c>
      <c r="M249" s="7">
        <f>Table1[[#This Row],[Tuition Fee (拢)]]/Table1[[#This Row],[Credits]]</f>
        <v>2095.4</v>
      </c>
    </row>
    <row r="250" spans="1:13">
      <c r="A250" s="2">
        <v>44566</v>
      </c>
      <c r="B250" s="1" t="s">
        <v>338</v>
      </c>
      <c r="C250" s="1" t="s">
        <v>13</v>
      </c>
      <c r="D250" s="1" t="s">
        <v>14</v>
      </c>
      <c r="E250" s="1" t="s">
        <v>34</v>
      </c>
      <c r="F250" s="1" t="s">
        <v>35</v>
      </c>
      <c r="G250" s="1" t="s">
        <v>36</v>
      </c>
      <c r="H250" s="1" t="s">
        <v>18</v>
      </c>
      <c r="I250" s="1" t="s">
        <v>25</v>
      </c>
      <c r="J250" s="1">
        <v>18686</v>
      </c>
      <c r="K250" s="1">
        <v>10</v>
      </c>
      <c r="L250" s="1">
        <v>84</v>
      </c>
      <c r="M250" s="7">
        <f>Table1[[#This Row],[Tuition Fee (拢)]]/Table1[[#This Row],[Credits]]</f>
        <v>1868.6</v>
      </c>
    </row>
    <row r="251" spans="1:13">
      <c r="A251" s="2">
        <v>45568</v>
      </c>
      <c r="B251" s="1" t="s">
        <v>339</v>
      </c>
      <c r="C251" s="1" t="s">
        <v>13</v>
      </c>
      <c r="D251" s="1" t="s">
        <v>14</v>
      </c>
      <c r="E251" s="1" t="s">
        <v>44</v>
      </c>
      <c r="F251" s="1" t="s">
        <v>120</v>
      </c>
      <c r="G251" s="1" t="s">
        <v>23</v>
      </c>
      <c r="H251" s="1" t="s">
        <v>31</v>
      </c>
      <c r="I251" s="1" t="s">
        <v>32</v>
      </c>
      <c r="J251" s="1">
        <v>9367</v>
      </c>
      <c r="K251" s="1">
        <v>10</v>
      </c>
      <c r="L251" s="1">
        <v>68</v>
      </c>
      <c r="M251" s="7">
        <f>Table1[[#This Row],[Tuition Fee (拢)]]/Table1[[#This Row],[Credits]]</f>
        <v>936.7</v>
      </c>
    </row>
    <row r="252" spans="1:13">
      <c r="A252" s="2">
        <v>45108</v>
      </c>
      <c r="B252" s="1" t="s">
        <v>340</v>
      </c>
      <c r="C252" s="1" t="s">
        <v>13</v>
      </c>
      <c r="D252" s="1" t="s">
        <v>14</v>
      </c>
      <c r="E252" s="1" t="s">
        <v>29</v>
      </c>
      <c r="F252" s="1" t="s">
        <v>47</v>
      </c>
      <c r="G252" s="1" t="s">
        <v>17</v>
      </c>
      <c r="H252" s="1" t="s">
        <v>24</v>
      </c>
      <c r="I252" s="1" t="s">
        <v>19</v>
      </c>
      <c r="J252" s="1">
        <v>12416</v>
      </c>
      <c r="K252" s="1">
        <v>20</v>
      </c>
      <c r="L252" s="1">
        <v>67</v>
      </c>
      <c r="M252" s="7">
        <f>Table1[[#This Row],[Tuition Fee (拢)]]/Table1[[#This Row],[Credits]]</f>
        <v>620.79999999999995</v>
      </c>
    </row>
    <row r="253" spans="1:13">
      <c r="A253" s="2">
        <v>45337</v>
      </c>
      <c r="B253" s="1" t="s">
        <v>341</v>
      </c>
      <c r="C253" s="1" t="s">
        <v>92</v>
      </c>
      <c r="D253" s="1" t="s">
        <v>93</v>
      </c>
      <c r="E253" s="1" t="s">
        <v>15</v>
      </c>
      <c r="F253" s="1" t="s">
        <v>94</v>
      </c>
      <c r="G253" s="1" t="s">
        <v>36</v>
      </c>
      <c r="H253" s="1" t="s">
        <v>31</v>
      </c>
      <c r="I253" s="1" t="s">
        <v>25</v>
      </c>
      <c r="J253" s="1">
        <v>22348</v>
      </c>
      <c r="K253" s="1">
        <v>30</v>
      </c>
      <c r="L253" s="1">
        <v>64</v>
      </c>
      <c r="M253" s="7">
        <f>Table1[[#This Row],[Tuition Fee (拢)]]/Table1[[#This Row],[Credits]]</f>
        <v>744.93333333333328</v>
      </c>
    </row>
    <row r="254" spans="1:13">
      <c r="A254" s="2">
        <v>45461</v>
      </c>
      <c r="B254" s="1" t="s">
        <v>342</v>
      </c>
      <c r="C254" s="1" t="s">
        <v>13</v>
      </c>
      <c r="D254" s="1" t="s">
        <v>14</v>
      </c>
      <c r="E254" s="1" t="s">
        <v>44</v>
      </c>
      <c r="F254" s="1" t="s">
        <v>108</v>
      </c>
      <c r="G254" s="1" t="s">
        <v>17</v>
      </c>
      <c r="H254" s="1" t="s">
        <v>31</v>
      </c>
      <c r="I254" s="1" t="s">
        <v>25</v>
      </c>
      <c r="J254" s="1">
        <v>19096</v>
      </c>
      <c r="K254" s="1">
        <v>20</v>
      </c>
      <c r="L254" s="1">
        <v>86</v>
      </c>
      <c r="M254" s="7">
        <f>Table1[[#This Row],[Tuition Fee (拢)]]/Table1[[#This Row],[Credits]]</f>
        <v>954.8</v>
      </c>
    </row>
    <row r="255" spans="1:13">
      <c r="A255" s="2">
        <v>45012</v>
      </c>
      <c r="B255" s="1" t="s">
        <v>343</v>
      </c>
      <c r="C255" s="1" t="s">
        <v>270</v>
      </c>
      <c r="D255" s="1" t="s">
        <v>271</v>
      </c>
      <c r="E255" s="1" t="s">
        <v>15</v>
      </c>
      <c r="F255" s="1" t="s">
        <v>94</v>
      </c>
      <c r="G255" s="1" t="s">
        <v>36</v>
      </c>
      <c r="H255" s="1" t="s">
        <v>24</v>
      </c>
      <c r="I255" s="1" t="s">
        <v>25</v>
      </c>
      <c r="J255" s="1">
        <v>17518</v>
      </c>
      <c r="K255" s="1">
        <v>30</v>
      </c>
      <c r="L255" s="1">
        <v>70</v>
      </c>
      <c r="M255" s="7">
        <f>Table1[[#This Row],[Tuition Fee (拢)]]/Table1[[#This Row],[Credits]]</f>
        <v>583.93333333333328</v>
      </c>
    </row>
    <row r="256" spans="1:13">
      <c r="A256" s="2">
        <v>45102</v>
      </c>
      <c r="B256" s="1" t="s">
        <v>344</v>
      </c>
      <c r="C256" s="1" t="s">
        <v>13</v>
      </c>
      <c r="D256" s="1" t="s">
        <v>14</v>
      </c>
      <c r="E256" s="1" t="s">
        <v>29</v>
      </c>
      <c r="F256" s="1" t="s">
        <v>76</v>
      </c>
      <c r="G256" s="1" t="s">
        <v>17</v>
      </c>
      <c r="H256" s="1" t="s">
        <v>24</v>
      </c>
      <c r="I256" s="1" t="s">
        <v>19</v>
      </c>
      <c r="J256" s="1">
        <v>17977</v>
      </c>
      <c r="K256" s="1">
        <v>10</v>
      </c>
      <c r="L256" s="1">
        <v>67</v>
      </c>
      <c r="M256" s="7">
        <f>Table1[[#This Row],[Tuition Fee (拢)]]/Table1[[#This Row],[Credits]]</f>
        <v>1797.7</v>
      </c>
    </row>
    <row r="257" spans="1:13">
      <c r="A257" s="2">
        <v>45326</v>
      </c>
      <c r="B257" s="1" t="s">
        <v>345</v>
      </c>
      <c r="C257" s="1" t="s">
        <v>13</v>
      </c>
      <c r="D257" s="1" t="s">
        <v>14</v>
      </c>
      <c r="E257" s="1" t="s">
        <v>29</v>
      </c>
      <c r="F257" s="1" t="s">
        <v>62</v>
      </c>
      <c r="G257" s="1" t="s">
        <v>36</v>
      </c>
      <c r="H257" s="1" t="s">
        <v>31</v>
      </c>
      <c r="I257" s="1" t="s">
        <v>32</v>
      </c>
      <c r="J257" s="1">
        <v>9585</v>
      </c>
      <c r="K257" s="1">
        <v>20</v>
      </c>
      <c r="L257" s="1">
        <v>58</v>
      </c>
      <c r="M257" s="7">
        <f>Table1[[#This Row],[Tuition Fee (拢)]]/Table1[[#This Row],[Credits]]</f>
        <v>479.25</v>
      </c>
    </row>
    <row r="258" spans="1:13">
      <c r="A258" s="2">
        <v>45495</v>
      </c>
      <c r="B258" s="1" t="s">
        <v>346</v>
      </c>
      <c r="C258" s="1" t="s">
        <v>13</v>
      </c>
      <c r="D258" s="1" t="s">
        <v>14</v>
      </c>
      <c r="E258" s="1" t="s">
        <v>29</v>
      </c>
      <c r="F258" s="1" t="s">
        <v>62</v>
      </c>
      <c r="G258" s="1" t="s">
        <v>17</v>
      </c>
      <c r="H258" s="1" t="s">
        <v>31</v>
      </c>
      <c r="I258" s="1" t="s">
        <v>32</v>
      </c>
      <c r="J258" s="1">
        <v>10939</v>
      </c>
      <c r="K258" s="1">
        <v>30</v>
      </c>
      <c r="L258" s="1">
        <v>78</v>
      </c>
      <c r="M258" s="7">
        <f>Table1[[#This Row],[Tuition Fee (拢)]]/Table1[[#This Row],[Credits]]</f>
        <v>364.63333333333333</v>
      </c>
    </row>
    <row r="259" spans="1:13">
      <c r="A259" s="2">
        <v>44844</v>
      </c>
      <c r="B259" s="1" t="s">
        <v>347</v>
      </c>
      <c r="C259" s="1" t="s">
        <v>13</v>
      </c>
      <c r="D259" s="1" t="s">
        <v>14</v>
      </c>
      <c r="E259" s="1" t="s">
        <v>44</v>
      </c>
      <c r="F259" s="1" t="s">
        <v>60</v>
      </c>
      <c r="G259" s="1" t="s">
        <v>23</v>
      </c>
      <c r="H259" s="1" t="s">
        <v>18</v>
      </c>
      <c r="I259" s="1" t="s">
        <v>32</v>
      </c>
      <c r="J259" s="1">
        <v>10381</v>
      </c>
      <c r="K259" s="1">
        <v>20</v>
      </c>
      <c r="L259" s="1">
        <v>72</v>
      </c>
      <c r="M259" s="7">
        <f>Table1[[#This Row],[Tuition Fee (拢)]]/Table1[[#This Row],[Credits]]</f>
        <v>519.04999999999995</v>
      </c>
    </row>
    <row r="260" spans="1:13">
      <c r="A260" s="2">
        <v>45593</v>
      </c>
      <c r="B260" s="1" t="s">
        <v>348</v>
      </c>
      <c r="C260" s="1" t="s">
        <v>13</v>
      </c>
      <c r="D260" s="1" t="s">
        <v>14</v>
      </c>
      <c r="E260" s="1" t="s">
        <v>34</v>
      </c>
      <c r="F260" s="1" t="s">
        <v>83</v>
      </c>
      <c r="G260" s="1" t="s">
        <v>23</v>
      </c>
      <c r="H260" s="1" t="s">
        <v>31</v>
      </c>
      <c r="I260" s="1" t="s">
        <v>32</v>
      </c>
      <c r="J260" s="1">
        <v>10570</v>
      </c>
      <c r="K260" s="1">
        <v>10</v>
      </c>
      <c r="L260" s="1">
        <v>53</v>
      </c>
      <c r="M260" s="7">
        <f>Table1[[#This Row],[Tuition Fee (拢)]]/Table1[[#This Row],[Credits]]</f>
        <v>1057</v>
      </c>
    </row>
    <row r="261" spans="1:13">
      <c r="A261" s="2">
        <v>44587</v>
      </c>
      <c r="B261" s="1" t="s">
        <v>349</v>
      </c>
      <c r="C261" s="1" t="s">
        <v>13</v>
      </c>
      <c r="D261" s="1" t="s">
        <v>14</v>
      </c>
      <c r="E261" s="1" t="s">
        <v>34</v>
      </c>
      <c r="F261" s="1" t="s">
        <v>35</v>
      </c>
      <c r="G261" s="1" t="s">
        <v>36</v>
      </c>
      <c r="H261" s="1" t="s">
        <v>18</v>
      </c>
      <c r="I261" s="1" t="s">
        <v>19</v>
      </c>
      <c r="J261" s="1">
        <v>18285</v>
      </c>
      <c r="K261" s="1">
        <v>30</v>
      </c>
      <c r="L261" s="1">
        <v>59</v>
      </c>
      <c r="M261" s="7">
        <f>Table1[[#This Row],[Tuition Fee (拢)]]/Table1[[#This Row],[Credits]]</f>
        <v>609.5</v>
      </c>
    </row>
    <row r="262" spans="1:13">
      <c r="A262" s="2">
        <v>44950</v>
      </c>
      <c r="B262" s="1" t="s">
        <v>350</v>
      </c>
      <c r="C262" s="1" t="s">
        <v>278</v>
      </c>
      <c r="D262" s="1" t="s">
        <v>279</v>
      </c>
      <c r="E262" s="1" t="s">
        <v>34</v>
      </c>
      <c r="F262" s="1" t="s">
        <v>58</v>
      </c>
      <c r="G262" s="1" t="s">
        <v>36</v>
      </c>
      <c r="H262" s="1" t="s">
        <v>24</v>
      </c>
      <c r="I262" s="1" t="s">
        <v>25</v>
      </c>
      <c r="J262" s="1">
        <v>23124</v>
      </c>
      <c r="K262" s="1">
        <v>10</v>
      </c>
      <c r="L262" s="1">
        <v>69</v>
      </c>
      <c r="M262" s="7">
        <f>Table1[[#This Row],[Tuition Fee (拢)]]/Table1[[#This Row],[Credits]]</f>
        <v>2312.4</v>
      </c>
    </row>
    <row r="263" spans="1:13">
      <c r="A263" s="2">
        <v>45251</v>
      </c>
      <c r="B263" s="1" t="s">
        <v>351</v>
      </c>
      <c r="C263" s="1" t="s">
        <v>96</v>
      </c>
      <c r="D263" s="1" t="s">
        <v>97</v>
      </c>
      <c r="E263" s="1" t="s">
        <v>21</v>
      </c>
      <c r="F263" s="1" t="s">
        <v>53</v>
      </c>
      <c r="G263" s="1" t="s">
        <v>23</v>
      </c>
      <c r="H263" s="1" t="s">
        <v>24</v>
      </c>
      <c r="I263" s="1" t="s">
        <v>19</v>
      </c>
      <c r="J263" s="1">
        <v>14642</v>
      </c>
      <c r="K263" s="1">
        <v>20</v>
      </c>
      <c r="L263" s="1">
        <v>56</v>
      </c>
      <c r="M263" s="7">
        <f>Table1[[#This Row],[Tuition Fee (拢)]]/Table1[[#This Row],[Credits]]</f>
        <v>732.1</v>
      </c>
    </row>
    <row r="264" spans="1:13">
      <c r="A264" s="2">
        <v>45003</v>
      </c>
      <c r="B264" s="1" t="s">
        <v>352</v>
      </c>
      <c r="C264" s="1" t="s">
        <v>13</v>
      </c>
      <c r="D264" s="1" t="s">
        <v>14</v>
      </c>
      <c r="E264" s="1" t="s">
        <v>29</v>
      </c>
      <c r="F264" s="1" t="s">
        <v>76</v>
      </c>
      <c r="G264" s="1" t="s">
        <v>36</v>
      </c>
      <c r="H264" s="1" t="s">
        <v>24</v>
      </c>
      <c r="I264" s="1" t="s">
        <v>32</v>
      </c>
      <c r="J264" s="1">
        <v>9667</v>
      </c>
      <c r="K264" s="1">
        <v>30</v>
      </c>
      <c r="L264" s="1">
        <v>59</v>
      </c>
      <c r="M264" s="7">
        <f>Table1[[#This Row],[Tuition Fee (拢)]]/Table1[[#This Row],[Credits]]</f>
        <v>322.23333333333335</v>
      </c>
    </row>
    <row r="265" spans="1:13">
      <c r="A265" s="2">
        <v>45148</v>
      </c>
      <c r="B265" s="1" t="s">
        <v>353</v>
      </c>
      <c r="C265" s="1" t="s">
        <v>13</v>
      </c>
      <c r="D265" s="1" t="s">
        <v>14</v>
      </c>
      <c r="E265" s="1" t="s">
        <v>15</v>
      </c>
      <c r="F265" s="1" t="s">
        <v>16</v>
      </c>
      <c r="G265" s="1" t="s">
        <v>17</v>
      </c>
      <c r="H265" s="1" t="s">
        <v>24</v>
      </c>
      <c r="I265" s="1" t="s">
        <v>19</v>
      </c>
      <c r="J265" s="1">
        <v>13327</v>
      </c>
      <c r="K265" s="1">
        <v>30</v>
      </c>
      <c r="L265" s="1">
        <v>65</v>
      </c>
      <c r="M265" s="7">
        <f>Table1[[#This Row],[Tuition Fee (拢)]]/Table1[[#This Row],[Credits]]</f>
        <v>444.23333333333335</v>
      </c>
    </row>
    <row r="266" spans="1:13">
      <c r="A266" s="2">
        <v>44737</v>
      </c>
      <c r="B266" s="1" t="s">
        <v>354</v>
      </c>
      <c r="C266" s="1" t="s">
        <v>13</v>
      </c>
      <c r="D266" s="1" t="s">
        <v>14</v>
      </c>
      <c r="E266" s="1" t="s">
        <v>44</v>
      </c>
      <c r="F266" s="1" t="s">
        <v>108</v>
      </c>
      <c r="G266" s="1" t="s">
        <v>17</v>
      </c>
      <c r="H266" s="1" t="s">
        <v>18</v>
      </c>
      <c r="I266" s="1" t="s">
        <v>25</v>
      </c>
      <c r="J266" s="1">
        <v>24289</v>
      </c>
      <c r="K266" s="1">
        <v>15</v>
      </c>
      <c r="L266" s="1">
        <v>78</v>
      </c>
      <c r="M266" s="7">
        <f>Table1[[#This Row],[Tuition Fee (拢)]]/Table1[[#This Row],[Credits]]</f>
        <v>1619.2666666666667</v>
      </c>
    </row>
    <row r="267" spans="1:13">
      <c r="A267" s="2">
        <v>45360</v>
      </c>
      <c r="B267" s="1" t="s">
        <v>355</v>
      </c>
      <c r="C267" s="1" t="s">
        <v>13</v>
      </c>
      <c r="D267" s="1" t="s">
        <v>14</v>
      </c>
      <c r="E267" s="1" t="s">
        <v>34</v>
      </c>
      <c r="F267" s="1" t="s">
        <v>83</v>
      </c>
      <c r="G267" s="1" t="s">
        <v>36</v>
      </c>
      <c r="H267" s="1" t="s">
        <v>31</v>
      </c>
      <c r="I267" s="1" t="s">
        <v>19</v>
      </c>
      <c r="J267" s="1">
        <v>14340</v>
      </c>
      <c r="K267" s="1">
        <v>30</v>
      </c>
      <c r="L267" s="1">
        <v>79</v>
      </c>
      <c r="M267" s="7">
        <f>Table1[[#This Row],[Tuition Fee (拢)]]/Table1[[#This Row],[Credits]]</f>
        <v>478</v>
      </c>
    </row>
    <row r="268" spans="1:13">
      <c r="A268" s="2">
        <v>44791</v>
      </c>
      <c r="B268" s="1" t="s">
        <v>356</v>
      </c>
      <c r="C268" s="1" t="s">
        <v>13</v>
      </c>
      <c r="D268" s="1" t="s">
        <v>14</v>
      </c>
      <c r="E268" s="1" t="s">
        <v>21</v>
      </c>
      <c r="F268" s="1" t="s">
        <v>22</v>
      </c>
      <c r="G268" s="1" t="s">
        <v>17</v>
      </c>
      <c r="H268" s="1" t="s">
        <v>18</v>
      </c>
      <c r="I268" s="1" t="s">
        <v>32</v>
      </c>
      <c r="J268" s="1">
        <v>10502</v>
      </c>
      <c r="K268" s="1">
        <v>20</v>
      </c>
      <c r="L268" s="1">
        <v>65</v>
      </c>
      <c r="M268" s="7">
        <f>Table1[[#This Row],[Tuition Fee (拢)]]/Table1[[#This Row],[Credits]]</f>
        <v>525.1</v>
      </c>
    </row>
    <row r="269" spans="1:13">
      <c r="A269" s="2">
        <v>44819</v>
      </c>
      <c r="B269" s="1" t="s">
        <v>357</v>
      </c>
      <c r="C269" s="1" t="s">
        <v>51</v>
      </c>
      <c r="D269" s="1" t="s">
        <v>52</v>
      </c>
      <c r="E269" s="1" t="s">
        <v>21</v>
      </c>
      <c r="F269" s="1" t="s">
        <v>53</v>
      </c>
      <c r="G269" s="1" t="s">
        <v>23</v>
      </c>
      <c r="H269" s="1" t="s">
        <v>18</v>
      </c>
      <c r="I269" s="1" t="s">
        <v>25</v>
      </c>
      <c r="J269" s="1">
        <v>23532</v>
      </c>
      <c r="K269" s="1">
        <v>10</v>
      </c>
      <c r="L269" s="1">
        <v>74</v>
      </c>
      <c r="M269" s="7">
        <f>Table1[[#This Row],[Tuition Fee (拢)]]/Table1[[#This Row],[Credits]]</f>
        <v>2353.1999999999998</v>
      </c>
    </row>
    <row r="270" spans="1:13">
      <c r="A270" s="2">
        <v>44931</v>
      </c>
      <c r="B270" s="1" t="s">
        <v>358</v>
      </c>
      <c r="C270" s="1" t="s">
        <v>149</v>
      </c>
      <c r="D270" s="1" t="s">
        <v>150</v>
      </c>
      <c r="E270" s="1" t="s">
        <v>15</v>
      </c>
      <c r="F270" s="1" t="s">
        <v>128</v>
      </c>
      <c r="G270" s="1" t="s">
        <v>36</v>
      </c>
      <c r="H270" s="1" t="s">
        <v>24</v>
      </c>
      <c r="I270" s="1" t="s">
        <v>25</v>
      </c>
      <c r="J270" s="1">
        <v>15103</v>
      </c>
      <c r="K270" s="1">
        <v>20</v>
      </c>
      <c r="L270" s="1">
        <v>81</v>
      </c>
      <c r="M270" s="7">
        <f>Table1[[#This Row],[Tuition Fee (拢)]]/Table1[[#This Row],[Credits]]</f>
        <v>755.15</v>
      </c>
    </row>
    <row r="271" spans="1:13">
      <c r="A271" s="2">
        <v>44938</v>
      </c>
      <c r="B271" s="1" t="s">
        <v>359</v>
      </c>
      <c r="C271" s="1" t="s">
        <v>183</v>
      </c>
      <c r="D271" s="1" t="s">
        <v>184</v>
      </c>
      <c r="E271" s="1" t="s">
        <v>44</v>
      </c>
      <c r="F271" s="1" t="s">
        <v>45</v>
      </c>
      <c r="G271" s="1" t="s">
        <v>36</v>
      </c>
      <c r="H271" s="1" t="s">
        <v>24</v>
      </c>
      <c r="I271" s="1" t="s">
        <v>19</v>
      </c>
      <c r="J271" s="1">
        <v>19591</v>
      </c>
      <c r="K271" s="1">
        <v>15</v>
      </c>
      <c r="L271" s="1">
        <v>58</v>
      </c>
      <c r="M271" s="7">
        <f>Table1[[#This Row],[Tuition Fee (拢)]]/Table1[[#This Row],[Credits]]</f>
        <v>1306.0666666666666</v>
      </c>
    </row>
    <row r="272" spans="1:13">
      <c r="A272" s="2">
        <v>45303</v>
      </c>
      <c r="B272" s="1" t="s">
        <v>360</v>
      </c>
      <c r="C272" s="1" t="s">
        <v>13</v>
      </c>
      <c r="D272" s="1" t="s">
        <v>14</v>
      </c>
      <c r="E272" s="1" t="s">
        <v>34</v>
      </c>
      <c r="F272" s="1" t="s">
        <v>67</v>
      </c>
      <c r="G272" s="1" t="s">
        <v>36</v>
      </c>
      <c r="H272" s="1" t="s">
        <v>31</v>
      </c>
      <c r="I272" s="1" t="s">
        <v>19</v>
      </c>
      <c r="J272" s="1">
        <v>14313</v>
      </c>
      <c r="K272" s="1">
        <v>10</v>
      </c>
      <c r="L272" s="1">
        <v>77</v>
      </c>
      <c r="M272" s="7">
        <f>Table1[[#This Row],[Tuition Fee (拢)]]/Table1[[#This Row],[Credits]]</f>
        <v>1431.3</v>
      </c>
    </row>
    <row r="273" spans="1:13">
      <c r="A273" s="2">
        <v>45362</v>
      </c>
      <c r="B273" s="1" t="s">
        <v>361</v>
      </c>
      <c r="C273" s="1" t="s">
        <v>13</v>
      </c>
      <c r="D273" s="1" t="s">
        <v>14</v>
      </c>
      <c r="E273" s="1" t="s">
        <v>44</v>
      </c>
      <c r="F273" s="1" t="s">
        <v>120</v>
      </c>
      <c r="G273" s="1" t="s">
        <v>36</v>
      </c>
      <c r="H273" s="1" t="s">
        <v>31</v>
      </c>
      <c r="I273" s="1" t="s">
        <v>25</v>
      </c>
      <c r="J273" s="1">
        <v>20330</v>
      </c>
      <c r="K273" s="1">
        <v>30</v>
      </c>
      <c r="L273" s="1">
        <v>75</v>
      </c>
      <c r="M273" s="7">
        <f>Table1[[#This Row],[Tuition Fee (拢)]]/Table1[[#This Row],[Credits]]</f>
        <v>677.66666666666663</v>
      </c>
    </row>
    <row r="274" spans="1:13">
      <c r="A274" s="2">
        <v>44851</v>
      </c>
      <c r="B274" s="1" t="s">
        <v>362</v>
      </c>
      <c r="C274" s="1" t="s">
        <v>72</v>
      </c>
      <c r="D274" s="1" t="s">
        <v>73</v>
      </c>
      <c r="E274" s="1" t="s">
        <v>29</v>
      </c>
      <c r="F274" s="1" t="s">
        <v>30</v>
      </c>
      <c r="G274" s="1" t="s">
        <v>23</v>
      </c>
      <c r="H274" s="1" t="s">
        <v>18</v>
      </c>
      <c r="I274" s="1" t="s">
        <v>32</v>
      </c>
      <c r="J274" s="1">
        <v>9211</v>
      </c>
      <c r="K274" s="1">
        <v>15</v>
      </c>
      <c r="L274" s="1">
        <v>76</v>
      </c>
      <c r="M274" s="7">
        <f>Table1[[#This Row],[Tuition Fee (拢)]]/Table1[[#This Row],[Credits]]</f>
        <v>614.06666666666672</v>
      </c>
    </row>
    <row r="275" spans="1:13">
      <c r="A275" s="2">
        <v>45323</v>
      </c>
      <c r="B275" s="1" t="s">
        <v>363</v>
      </c>
      <c r="C275" s="1" t="s">
        <v>13</v>
      </c>
      <c r="D275" s="1" t="s">
        <v>14</v>
      </c>
      <c r="E275" s="1" t="s">
        <v>29</v>
      </c>
      <c r="F275" s="1" t="s">
        <v>76</v>
      </c>
      <c r="G275" s="1" t="s">
        <v>36</v>
      </c>
      <c r="H275" s="1" t="s">
        <v>31</v>
      </c>
      <c r="I275" s="1" t="s">
        <v>25</v>
      </c>
      <c r="J275" s="1">
        <v>15817</v>
      </c>
      <c r="K275" s="1">
        <v>10</v>
      </c>
      <c r="L275" s="1">
        <v>77</v>
      </c>
      <c r="M275" s="7">
        <f>Table1[[#This Row],[Tuition Fee (拢)]]/Table1[[#This Row],[Credits]]</f>
        <v>1581.7</v>
      </c>
    </row>
    <row r="276" spans="1:13">
      <c r="A276" s="2">
        <v>44768</v>
      </c>
      <c r="B276" s="1" t="s">
        <v>364</v>
      </c>
      <c r="C276" s="1" t="s">
        <v>13</v>
      </c>
      <c r="D276" s="1" t="s">
        <v>14</v>
      </c>
      <c r="E276" s="1" t="s">
        <v>34</v>
      </c>
      <c r="F276" s="1" t="s">
        <v>67</v>
      </c>
      <c r="G276" s="1" t="s">
        <v>17</v>
      </c>
      <c r="H276" s="1" t="s">
        <v>18</v>
      </c>
      <c r="I276" s="1" t="s">
        <v>19</v>
      </c>
      <c r="J276" s="1">
        <v>18504</v>
      </c>
      <c r="K276" s="1">
        <v>30</v>
      </c>
      <c r="L276" s="1">
        <v>69</v>
      </c>
      <c r="M276" s="7">
        <f>Table1[[#This Row],[Tuition Fee (拢)]]/Table1[[#This Row],[Credits]]</f>
        <v>616.79999999999995</v>
      </c>
    </row>
    <row r="277" spans="1:13">
      <c r="A277" s="2">
        <v>44878</v>
      </c>
      <c r="B277" s="1" t="s">
        <v>365</v>
      </c>
      <c r="C277" s="1" t="s">
        <v>13</v>
      </c>
      <c r="D277" s="1" t="s">
        <v>14</v>
      </c>
      <c r="E277" s="1" t="s">
        <v>34</v>
      </c>
      <c r="F277" s="1" t="s">
        <v>83</v>
      </c>
      <c r="G277" s="1" t="s">
        <v>23</v>
      </c>
      <c r="H277" s="1" t="s">
        <v>18</v>
      </c>
      <c r="I277" s="1" t="s">
        <v>25</v>
      </c>
      <c r="J277" s="1">
        <v>16788</v>
      </c>
      <c r="K277" s="1">
        <v>10</v>
      </c>
      <c r="L277" s="1">
        <v>77</v>
      </c>
      <c r="M277" s="7">
        <f>Table1[[#This Row],[Tuition Fee (拢)]]/Table1[[#This Row],[Credits]]</f>
        <v>1678.8</v>
      </c>
    </row>
    <row r="278" spans="1:13">
      <c r="A278" s="2">
        <v>45615</v>
      </c>
      <c r="B278" s="1" t="s">
        <v>366</v>
      </c>
      <c r="C278" s="1" t="s">
        <v>13</v>
      </c>
      <c r="D278" s="1" t="s">
        <v>14</v>
      </c>
      <c r="E278" s="1" t="s">
        <v>21</v>
      </c>
      <c r="F278" s="1" t="s">
        <v>81</v>
      </c>
      <c r="G278" s="1" t="s">
        <v>23</v>
      </c>
      <c r="H278" s="1" t="s">
        <v>31</v>
      </c>
      <c r="I278" s="1" t="s">
        <v>32</v>
      </c>
      <c r="J278" s="1">
        <v>9115</v>
      </c>
      <c r="K278" s="1">
        <v>10</v>
      </c>
      <c r="L278" s="1">
        <v>55</v>
      </c>
      <c r="M278" s="7">
        <f>Table1[[#This Row],[Tuition Fee (拢)]]/Table1[[#This Row],[Credits]]</f>
        <v>911.5</v>
      </c>
    </row>
    <row r="279" spans="1:13">
      <c r="A279" s="2">
        <v>45093</v>
      </c>
      <c r="B279" s="1" t="s">
        <v>367</v>
      </c>
      <c r="C279" s="1" t="s">
        <v>13</v>
      </c>
      <c r="D279" s="1" t="s">
        <v>14</v>
      </c>
      <c r="E279" s="1" t="s">
        <v>29</v>
      </c>
      <c r="F279" s="1" t="s">
        <v>47</v>
      </c>
      <c r="G279" s="1" t="s">
        <v>17</v>
      </c>
      <c r="H279" s="1" t="s">
        <v>24</v>
      </c>
      <c r="I279" s="1" t="s">
        <v>32</v>
      </c>
      <c r="J279" s="1">
        <v>10772</v>
      </c>
      <c r="K279" s="1">
        <v>10</v>
      </c>
      <c r="L279" s="1">
        <v>55</v>
      </c>
      <c r="M279" s="7">
        <f>Table1[[#This Row],[Tuition Fee (拢)]]/Table1[[#This Row],[Credits]]</f>
        <v>1077.2</v>
      </c>
    </row>
    <row r="280" spans="1:13">
      <c r="A280" s="2">
        <v>45339</v>
      </c>
      <c r="B280" s="1" t="s">
        <v>368</v>
      </c>
      <c r="C280" s="1" t="s">
        <v>13</v>
      </c>
      <c r="D280" s="1" t="s">
        <v>14</v>
      </c>
      <c r="E280" s="1" t="s">
        <v>29</v>
      </c>
      <c r="F280" s="1" t="s">
        <v>47</v>
      </c>
      <c r="G280" s="1" t="s">
        <v>36</v>
      </c>
      <c r="H280" s="1" t="s">
        <v>31</v>
      </c>
      <c r="I280" s="1" t="s">
        <v>32</v>
      </c>
      <c r="J280" s="1">
        <v>10644</v>
      </c>
      <c r="K280" s="1">
        <v>20</v>
      </c>
      <c r="L280" s="1">
        <v>53</v>
      </c>
      <c r="M280" s="7">
        <f>Table1[[#This Row],[Tuition Fee (拢)]]/Table1[[#This Row],[Credits]]</f>
        <v>532.20000000000005</v>
      </c>
    </row>
    <row r="281" spans="1:13">
      <c r="A281" s="2">
        <v>44929</v>
      </c>
      <c r="B281" s="1" t="s">
        <v>369</v>
      </c>
      <c r="C281" s="1" t="s">
        <v>13</v>
      </c>
      <c r="D281" s="1" t="s">
        <v>14</v>
      </c>
      <c r="E281" s="1" t="s">
        <v>34</v>
      </c>
      <c r="F281" s="1" t="s">
        <v>35</v>
      </c>
      <c r="G281" s="1" t="s">
        <v>36</v>
      </c>
      <c r="H281" s="1" t="s">
        <v>24</v>
      </c>
      <c r="I281" s="1" t="s">
        <v>32</v>
      </c>
      <c r="J281" s="1">
        <v>9591</v>
      </c>
      <c r="K281" s="1">
        <v>20</v>
      </c>
      <c r="L281" s="1">
        <v>56</v>
      </c>
      <c r="M281" s="7">
        <f>Table1[[#This Row],[Tuition Fee (拢)]]/Table1[[#This Row],[Credits]]</f>
        <v>479.55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Gavhane</dc:creator>
  <cp:lastModifiedBy>Rutuja Gavhane</cp:lastModifiedBy>
  <dcterms:created xsi:type="dcterms:W3CDTF">2026-01-16T14:43:05Z</dcterms:created>
  <dcterms:modified xsi:type="dcterms:W3CDTF">2026-01-16T17:27:48Z</dcterms:modified>
</cp:coreProperties>
</file>